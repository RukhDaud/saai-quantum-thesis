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Search log" sheetId="2" state="visible" r:id="rId2"/>
    <sheet xmlns:r="http://schemas.openxmlformats.org/officeDocument/2006/relationships" name="Screening" sheetId="3" state="visible" r:id="rId3"/>
    <sheet xmlns:r="http://schemas.openxmlformats.org/officeDocument/2006/relationships" name="PRISMA counts" sheetId="4" state="visible" r:id="rId4"/>
    <sheet xmlns:r="http://schemas.openxmlformats.org/officeDocument/2006/relationships" name="Extraction"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b val="1"/>
      <color rgb="FFFFFFFF"/>
      <sz val="10"/>
    </font>
  </fonts>
  <fills count="4">
    <fill>
      <patternFill/>
    </fill>
    <fill>
      <patternFill patternType="gray125"/>
    </fill>
    <fill>
      <patternFill patternType="solid">
        <fgColor rgb="FF1F3864"/>
        <bgColor rgb="FF333333"/>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4" fillId="0" borderId="0" applyAlignment="1" pivotButton="0" quotePrefix="0" xfId="0">
      <alignment horizontal="general" vertical="bottom"/>
    </xf>
    <xf numFmtId="0" fontId="6" fillId="2" borderId="0" applyAlignment="1" pivotButton="0" quotePrefix="0" xfId="0">
      <alignment horizontal="general" vertical="bottom" wrapText="1"/>
    </xf>
    <xf numFmtId="0" fontId="0" fillId="3" borderId="0" applyAlignment="1" pivotButton="0" quotePrefix="0" xfId="0">
      <alignment horizontal="general" vertical="bottom"/>
    </xf>
    <xf numFmtId="0" fontId="6" fillId="2" borderId="0"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4" fillId="0" borderId="0" applyAlignment="1" pivotButton="0" quotePrefix="0" xfId="0">
      <alignment horizontal="general" vertical="bottom"/>
    </xf>
    <xf numFmtId="0" fontId="6" fillId="2" borderId="0" applyAlignment="1" pivotButton="0" quotePrefix="0" xfId="0">
      <alignment horizontal="general" vertical="bottom" wrapText="1"/>
    </xf>
    <xf numFmtId="0" fontId="0" fillId="3" borderId="0" applyAlignment="1" pivotButton="0" quotePrefix="0" xfId="0">
      <alignment horizontal="general" vertical="bottom"/>
    </xf>
    <xf numFmtId="0" fontId="6" fillId="2" borderId="0" applyAlignment="1" pivotButton="0" quotePrefix="0" xfId="0">
      <alignment horizontal="general" vertical="bottom"/>
    </xf>
    <xf numFmtId="164"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11" min="1" max="1"/>
  </cols>
  <sheetData>
    <row r="1" ht="15" customHeight="1" s="12">
      <c r="A1" s="13" t="inlineStr">
        <is>
          <t>Phase 1 systematic review workbook</t>
        </is>
      </c>
    </row>
    <row r="2" ht="15" customHeight="1" s="12">
      <c r="A2" s="14" t="inlineStr">
        <is>
          <t>Follows the Phase 1 Systematic Review Protocol doc. Yellow cells are for you to fill in.</t>
        </is>
      </c>
    </row>
    <row r="3" ht="23.85" customHeight="1" s="12">
      <c r="A3" s="14" t="inlineStr">
        <is>
          <t>Search log: one row per search per database. Paste the exact string you ran (database syntax differs), the date, the hit count and the export file name. These numbers feed the PRISMA flow diagram.</t>
        </is>
      </c>
    </row>
    <row r="4" ht="23.85" customHeight="1" s="12">
      <c r="A4" s="14" t="inlineStr">
        <is>
          <t>Screening: import all exported records into Zotero, remove duplicates, then record title/abstract and full-text decisions (I1-I5, E1-E5 codes from the protocol).</t>
        </is>
      </c>
    </row>
    <row r="5" ht="23.85" customHeight="1" s="12">
      <c r="A5" s="14" t="inlineStr">
        <is>
          <t>Extraction: one row per included study. Copy key figures verbatim with the page number. Rows are pre-filled for the 146 sources cited in thesis draft v2 (reference number = draft v2 number).</t>
        </is>
      </c>
    </row>
    <row r="6" ht="15" customHeight="1" s="12">
      <c r="A6" s="14" t="inlineStr">
        <is>
          <t>PRISMA counts: filled automatically from the Screening sheet.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1" min="1" max="1"/>
    <col width="11" customWidth="1" style="11" min="2" max="2"/>
    <col width="18" customWidth="1" style="11" min="3" max="3"/>
    <col width="26" customWidth="1" style="11" min="4" max="4"/>
    <col width="50" customWidth="1" style="11" min="5" max="5"/>
    <col width="18" customWidth="1" style="11" min="6" max="6"/>
    <col width="11" customWidth="1" style="11" min="7" max="7"/>
    <col width="8" customWidth="1" style="11" min="8" max="8"/>
    <col width="18" customWidth="1" style="11" min="9" max="9"/>
    <col width="24" customWidth="1" style="11" min="10" max="10"/>
  </cols>
  <sheetData>
    <row r="1" ht="23.85" customHeight="1" s="12">
      <c r="A1" s="15" t="inlineStr">
        <is>
          <t>Search</t>
        </is>
      </c>
      <c r="B1" s="15" t="inlineStr">
        <is>
          <t>Mapping question</t>
        </is>
      </c>
      <c r="C1" s="15" t="inlineStr">
        <is>
          <t>Database</t>
        </is>
      </c>
      <c r="D1" s="15" t="inlineStr">
        <is>
          <t>Block combination</t>
        </is>
      </c>
      <c r="E1" s="15" t="inlineStr">
        <is>
          <t>Exact string used (paste)</t>
        </is>
      </c>
      <c r="F1" s="15" t="inlineStr">
        <is>
          <t>Fields</t>
        </is>
      </c>
      <c r="G1" s="15" t="inlineStr">
        <is>
          <t>Date run</t>
        </is>
      </c>
      <c r="H1" s="15" t="inlineStr">
        <is>
          <t>Hits</t>
        </is>
      </c>
      <c r="I1" s="15" t="inlineStr">
        <is>
          <t>Export file</t>
        </is>
      </c>
      <c r="J1" s="15" t="inlineStr">
        <is>
          <t>Notes</t>
        </is>
      </c>
    </row>
    <row r="2" ht="23.85" customHeight="1" s="12">
      <c r="A2" s="16" t="inlineStr">
        <is>
          <t>S1</t>
        </is>
      </c>
      <c r="B2" s="16" t="inlineStr">
        <is>
          <t>MQ1</t>
        </is>
      </c>
      <c r="C2" s="16" t="inlineStr">
        <is>
          <t>IEEE Xplore</t>
        </is>
      </c>
      <c r="D2" s="16" t="inlineStr">
        <is>
          <t>(A) AND (B)</t>
        </is>
      </c>
      <c r="E2" s="17" t="n"/>
      <c r="F2" s="16" t="inlineStr">
        <is>
          <t>Title, abstract, keywords</t>
        </is>
      </c>
      <c r="G2" s="17" t="n"/>
      <c r="H2" s="17" t="n"/>
      <c r="I2" s="17" t="n"/>
      <c r="J2" s="17" t="n"/>
    </row>
    <row r="3" ht="23.85" customHeight="1" s="12">
      <c r="A3" s="16" t="inlineStr">
        <is>
          <t>S1</t>
        </is>
      </c>
      <c r="B3" s="16" t="inlineStr">
        <is>
          <t>MQ1</t>
        </is>
      </c>
      <c r="C3" s="16" t="inlineStr">
        <is>
          <t>ACM Digital Library</t>
        </is>
      </c>
      <c r="D3" s="16" t="inlineStr">
        <is>
          <t>(A) AND (B)</t>
        </is>
      </c>
      <c r="E3" s="17" t="n"/>
      <c r="F3" s="16" t="inlineStr">
        <is>
          <t>Title, abstract, keywords</t>
        </is>
      </c>
      <c r="G3" s="17" t="n"/>
      <c r="H3" s="17" t="n"/>
      <c r="I3" s="17" t="n"/>
      <c r="J3" s="17" t="n"/>
    </row>
    <row r="4" ht="23.85" customHeight="1" s="12">
      <c r="A4" s="16" t="inlineStr">
        <is>
          <t>S1</t>
        </is>
      </c>
      <c r="B4" s="16" t="inlineStr">
        <is>
          <t>MQ1</t>
        </is>
      </c>
      <c r="C4" s="16" t="inlineStr">
        <is>
          <t>Scopus</t>
        </is>
      </c>
      <c r="D4" s="16" t="inlineStr">
        <is>
          <t>(A) AND (B)</t>
        </is>
      </c>
      <c r="E4" s="17" t="n"/>
      <c r="F4" s="16" t="inlineStr">
        <is>
          <t>Title, abstract, keywords</t>
        </is>
      </c>
      <c r="G4" s="17" t="n"/>
      <c r="H4" s="17" t="n"/>
      <c r="I4" s="17" t="n"/>
      <c r="J4" s="17" t="n"/>
    </row>
    <row r="5" ht="23.85" customHeight="1" s="12">
      <c r="A5" s="16" t="inlineStr">
        <is>
          <t>S1</t>
        </is>
      </c>
      <c r="B5" s="16" t="inlineStr">
        <is>
          <t>MQ1</t>
        </is>
      </c>
      <c r="C5" s="16" t="inlineStr">
        <is>
          <t>Web of Science</t>
        </is>
      </c>
      <c r="D5" s="16" t="inlineStr">
        <is>
          <t>(A) AND (B)</t>
        </is>
      </c>
      <c r="E5" s="17" t="n"/>
      <c r="F5" s="16" t="inlineStr">
        <is>
          <t>Title, abstract, keywords</t>
        </is>
      </c>
      <c r="G5" s="17" t="n"/>
      <c r="H5" s="17" t="n"/>
      <c r="I5" s="17" t="n"/>
      <c r="J5" s="17" t="n"/>
    </row>
    <row r="6" ht="23.85" customHeight="1" s="12">
      <c r="A6" s="16" t="inlineStr">
        <is>
          <t>S1</t>
        </is>
      </c>
      <c r="B6" s="16" t="inlineStr">
        <is>
          <t>MQ1</t>
        </is>
      </c>
      <c r="C6" s="16" t="inlineStr">
        <is>
          <t>SpringerLink</t>
        </is>
      </c>
      <c r="D6" s="16" t="inlineStr">
        <is>
          <t>(A) AND (B)</t>
        </is>
      </c>
      <c r="E6" s="17" t="n"/>
      <c r="F6" s="16" t="inlineStr">
        <is>
          <t>Title, abstract, keywords</t>
        </is>
      </c>
      <c r="G6" s="17" t="n"/>
      <c r="H6" s="17" t="n"/>
      <c r="I6" s="17" t="n"/>
      <c r="J6" s="17" t="n"/>
    </row>
    <row r="7" ht="23.85" customHeight="1" s="12">
      <c r="A7" s="16" t="inlineStr">
        <is>
          <t>S1</t>
        </is>
      </c>
      <c r="B7" s="16" t="inlineStr">
        <is>
          <t>MQ1</t>
        </is>
      </c>
      <c r="C7" s="16" t="inlineStr">
        <is>
          <t>ScienceDirect</t>
        </is>
      </c>
      <c r="D7" s="16" t="inlineStr">
        <is>
          <t>(A) AND (B)</t>
        </is>
      </c>
      <c r="E7" s="17" t="n"/>
      <c r="F7" s="16" t="inlineStr">
        <is>
          <t>Title, abstract, keywords</t>
        </is>
      </c>
      <c r="G7" s="17" t="n"/>
      <c r="H7" s="17" t="n"/>
      <c r="I7" s="17" t="n"/>
      <c r="J7" s="17" t="n"/>
    </row>
    <row r="8" ht="23.85" customHeight="1" s="12">
      <c r="A8" s="16" t="inlineStr">
        <is>
          <t>S2</t>
        </is>
      </c>
      <c r="B8" s="16" t="inlineStr">
        <is>
          <t>MQ2</t>
        </is>
      </c>
      <c r="C8" s="16" t="inlineStr">
        <is>
          <t>IEEE Xplore</t>
        </is>
      </c>
      <c r="D8" s="16" t="inlineStr">
        <is>
          <t>(A) AND (C)</t>
        </is>
      </c>
      <c r="E8" s="17" t="n"/>
      <c r="F8" s="16" t="inlineStr">
        <is>
          <t>Title, abstract, keywords</t>
        </is>
      </c>
      <c r="G8" s="17" t="n"/>
      <c r="H8" s="17" t="n"/>
      <c r="I8" s="17" t="n"/>
      <c r="J8" s="17" t="n"/>
    </row>
    <row r="9" ht="23.85" customHeight="1" s="12">
      <c r="A9" s="16" t="inlineStr">
        <is>
          <t>S2</t>
        </is>
      </c>
      <c r="B9" s="16" t="inlineStr">
        <is>
          <t>MQ2</t>
        </is>
      </c>
      <c r="C9" s="16" t="inlineStr">
        <is>
          <t>ACM Digital Library</t>
        </is>
      </c>
      <c r="D9" s="16" t="inlineStr">
        <is>
          <t>(A) AND (C)</t>
        </is>
      </c>
      <c r="E9" s="17" t="n"/>
      <c r="F9" s="16" t="inlineStr">
        <is>
          <t>Title, abstract, keywords</t>
        </is>
      </c>
      <c r="G9" s="17" t="n"/>
      <c r="H9" s="17" t="n"/>
      <c r="I9" s="17" t="n"/>
      <c r="J9" s="17" t="n"/>
    </row>
    <row r="10" ht="23.85" customHeight="1" s="12">
      <c r="A10" s="16" t="inlineStr">
        <is>
          <t>S2</t>
        </is>
      </c>
      <c r="B10" s="16" t="inlineStr">
        <is>
          <t>MQ2</t>
        </is>
      </c>
      <c r="C10" s="16" t="inlineStr">
        <is>
          <t>Scopus</t>
        </is>
      </c>
      <c r="D10" s="16" t="inlineStr">
        <is>
          <t>(A) AND (C)</t>
        </is>
      </c>
      <c r="E10" s="17" t="n"/>
      <c r="F10" s="16" t="inlineStr">
        <is>
          <t>Title, abstract, keywords</t>
        </is>
      </c>
      <c r="G10" s="17" t="n"/>
      <c r="H10" s="17" t="n"/>
      <c r="I10" s="17" t="n"/>
      <c r="J10" s="17" t="n"/>
    </row>
    <row r="11" ht="23.85" customHeight="1" s="12">
      <c r="A11" s="16" t="inlineStr">
        <is>
          <t>S2</t>
        </is>
      </c>
      <c r="B11" s="16" t="inlineStr">
        <is>
          <t>MQ2</t>
        </is>
      </c>
      <c r="C11" s="16" t="inlineStr">
        <is>
          <t>Web of Science</t>
        </is>
      </c>
      <c r="D11" s="16" t="inlineStr">
        <is>
          <t>(A) AND (C)</t>
        </is>
      </c>
      <c r="E11" s="17" t="n"/>
      <c r="F11" s="16" t="inlineStr">
        <is>
          <t>Title, abstract, keywords</t>
        </is>
      </c>
      <c r="G11" s="17" t="n"/>
      <c r="H11" s="17" t="n"/>
      <c r="I11" s="17" t="n"/>
      <c r="J11" s="17" t="n"/>
    </row>
    <row r="12" ht="23.85" customHeight="1" s="12">
      <c r="A12" s="16" t="inlineStr">
        <is>
          <t>S2</t>
        </is>
      </c>
      <c r="B12" s="16" t="inlineStr">
        <is>
          <t>MQ2</t>
        </is>
      </c>
      <c r="C12" s="16" t="inlineStr">
        <is>
          <t>SpringerLink</t>
        </is>
      </c>
      <c r="D12" s="16" t="inlineStr">
        <is>
          <t>(A) AND (C)</t>
        </is>
      </c>
      <c r="E12" s="17" t="n"/>
      <c r="F12" s="16" t="inlineStr">
        <is>
          <t>Title, abstract, keywords</t>
        </is>
      </c>
      <c r="G12" s="17" t="n"/>
      <c r="H12" s="17" t="n"/>
      <c r="I12" s="17" t="n"/>
      <c r="J12" s="17" t="n"/>
    </row>
    <row r="13" ht="23.85" customHeight="1" s="12">
      <c r="A13" s="16" t="inlineStr">
        <is>
          <t>S2</t>
        </is>
      </c>
      <c r="B13" s="16" t="inlineStr">
        <is>
          <t>MQ2</t>
        </is>
      </c>
      <c r="C13" s="16" t="inlineStr">
        <is>
          <t>ScienceDirect</t>
        </is>
      </c>
      <c r="D13" s="16" t="inlineStr">
        <is>
          <t>(A) AND (C)</t>
        </is>
      </c>
      <c r="E13" s="17" t="n"/>
      <c r="F13" s="16" t="inlineStr">
        <is>
          <t>Title, abstract, keywords</t>
        </is>
      </c>
      <c r="G13" s="17" t="n"/>
      <c r="H13" s="17" t="n"/>
      <c r="I13" s="17" t="n"/>
      <c r="J13" s="17" t="n"/>
    </row>
    <row r="14" ht="23.85" customHeight="1" s="12">
      <c r="A14" s="16" t="inlineStr">
        <is>
          <t>S3</t>
        </is>
      </c>
      <c r="B14" s="16" t="inlineStr">
        <is>
          <t>MQ3</t>
        </is>
      </c>
      <c r="C14" s="16" t="inlineStr">
        <is>
          <t>IEEE Xplore</t>
        </is>
      </c>
      <c r="D14" s="16" t="inlineStr">
        <is>
          <t>(A) AND (D) AND ((B) OR (C))</t>
        </is>
      </c>
      <c r="E14" s="17" t="n"/>
      <c r="F14" s="16" t="inlineStr">
        <is>
          <t>Title, abstract, keywords</t>
        </is>
      </c>
      <c r="G14" s="17" t="n"/>
      <c r="H14" s="17" t="n"/>
      <c r="I14" s="17" t="n"/>
      <c r="J14" s="17" t="n"/>
    </row>
    <row r="15" ht="23.85" customHeight="1" s="12">
      <c r="A15" s="16" t="inlineStr">
        <is>
          <t>S3</t>
        </is>
      </c>
      <c r="B15" s="16" t="inlineStr">
        <is>
          <t>MQ3</t>
        </is>
      </c>
      <c r="C15" s="16" t="inlineStr">
        <is>
          <t>ACM Digital Library</t>
        </is>
      </c>
      <c r="D15" s="16" t="inlineStr">
        <is>
          <t>(A) AND (D) AND ((B) OR (C))</t>
        </is>
      </c>
      <c r="E15" s="17" t="n"/>
      <c r="F15" s="16" t="inlineStr">
        <is>
          <t>Title, abstract, keywords</t>
        </is>
      </c>
      <c r="G15" s="17" t="n"/>
      <c r="H15" s="17" t="n"/>
      <c r="I15" s="17" t="n"/>
      <c r="J15" s="17" t="n"/>
    </row>
    <row r="16" ht="23.85" customHeight="1" s="12">
      <c r="A16" s="16" t="inlineStr">
        <is>
          <t>S3</t>
        </is>
      </c>
      <c r="B16" s="16" t="inlineStr">
        <is>
          <t>MQ3</t>
        </is>
      </c>
      <c r="C16" s="16" t="inlineStr">
        <is>
          <t>Scopus</t>
        </is>
      </c>
      <c r="D16" s="16" t="inlineStr">
        <is>
          <t>(A) AND (D) AND ((B) OR (C))</t>
        </is>
      </c>
      <c r="E16" s="17" t="n"/>
      <c r="F16" s="16" t="inlineStr">
        <is>
          <t>Title, abstract, keywords</t>
        </is>
      </c>
      <c r="G16" s="17" t="n"/>
      <c r="H16" s="17" t="n"/>
      <c r="I16" s="17" t="n"/>
      <c r="J16" s="17" t="n"/>
    </row>
    <row r="17" ht="23.85" customHeight="1" s="12">
      <c r="A17" s="16" t="inlineStr">
        <is>
          <t>S3</t>
        </is>
      </c>
      <c r="B17" s="16" t="inlineStr">
        <is>
          <t>MQ3</t>
        </is>
      </c>
      <c r="C17" s="16" t="inlineStr">
        <is>
          <t>Web of Science</t>
        </is>
      </c>
      <c r="D17" s="16" t="inlineStr">
        <is>
          <t>(A) AND (D) AND ((B) OR (C))</t>
        </is>
      </c>
      <c r="E17" s="17" t="n"/>
      <c r="F17" s="16" t="inlineStr">
        <is>
          <t>Title, abstract, keywords</t>
        </is>
      </c>
      <c r="G17" s="17" t="n"/>
      <c r="H17" s="17" t="n"/>
      <c r="I17" s="17" t="n"/>
      <c r="J17" s="17" t="n"/>
    </row>
    <row r="18" ht="23.85" customHeight="1" s="12">
      <c r="A18" s="16" t="inlineStr">
        <is>
          <t>S3</t>
        </is>
      </c>
      <c r="B18" s="16" t="inlineStr">
        <is>
          <t>MQ3</t>
        </is>
      </c>
      <c r="C18" s="16" t="inlineStr">
        <is>
          <t>SpringerLink</t>
        </is>
      </c>
      <c r="D18" s="16" t="inlineStr">
        <is>
          <t>(A) AND (D) AND ((B) OR (C))</t>
        </is>
      </c>
      <c r="E18" s="17" t="n"/>
      <c r="F18" s="16" t="inlineStr">
        <is>
          <t>Title, abstract, keywords</t>
        </is>
      </c>
      <c r="G18" s="17" t="n"/>
      <c r="H18" s="17" t="n"/>
      <c r="I18" s="17" t="n"/>
      <c r="J18" s="17" t="n"/>
    </row>
    <row r="19" ht="23.85" customHeight="1" s="12">
      <c r="A19" s="16" t="inlineStr">
        <is>
          <t>S3</t>
        </is>
      </c>
      <c r="B19" s="16" t="inlineStr">
        <is>
          <t>MQ3</t>
        </is>
      </c>
      <c r="C19" s="16" t="inlineStr">
        <is>
          <t>ScienceDirect</t>
        </is>
      </c>
      <c r="D19" s="16" t="inlineStr">
        <is>
          <t>(A) AND (D) AND ((B) OR (C))</t>
        </is>
      </c>
      <c r="E19" s="17" t="n"/>
      <c r="F19" s="16" t="inlineStr">
        <is>
          <t>Title, abstract, keywords</t>
        </is>
      </c>
      <c r="G19" s="17" t="n"/>
      <c r="H19" s="17" t="n"/>
      <c r="I19" s="17" t="n"/>
      <c r="J19" s="17" t="n"/>
    </row>
    <row r="20" ht="23.85" customHeight="1" s="12">
      <c r="A20" s="16" t="inlineStr">
        <is>
          <t>S4</t>
        </is>
      </c>
      <c r="B20" s="16" t="inlineStr">
        <is>
          <t>MQ4</t>
        </is>
      </c>
      <c r="C20" s="16" t="inlineStr">
        <is>
          <t>IEEE Xplore</t>
        </is>
      </c>
      <c r="D20" s="16" t="inlineStr">
        <is>
          <t>(E) AND (F)</t>
        </is>
      </c>
      <c r="E20" s="17" t="n"/>
      <c r="F20" s="16" t="inlineStr">
        <is>
          <t>Title, abstract, keywords</t>
        </is>
      </c>
      <c r="G20" s="17" t="n"/>
      <c r="H20" s="17" t="n"/>
      <c r="I20" s="17" t="n"/>
      <c r="J20" s="17" t="n"/>
    </row>
    <row r="21" ht="23.85" customHeight="1" s="12">
      <c r="A21" s="16" t="inlineStr">
        <is>
          <t>S4</t>
        </is>
      </c>
      <c r="B21" s="16" t="inlineStr">
        <is>
          <t>MQ4</t>
        </is>
      </c>
      <c r="C21" s="16" t="inlineStr">
        <is>
          <t>ACM Digital Library</t>
        </is>
      </c>
      <c r="D21" s="16" t="inlineStr">
        <is>
          <t>(E) AND (F)</t>
        </is>
      </c>
      <c r="E21" s="17" t="n"/>
      <c r="F21" s="16" t="inlineStr">
        <is>
          <t>Title, abstract, keywords</t>
        </is>
      </c>
      <c r="G21" s="17" t="n"/>
      <c r="H21" s="17" t="n"/>
      <c r="I21" s="17" t="n"/>
      <c r="J21" s="17" t="n"/>
    </row>
    <row r="22" ht="23.85" customHeight="1" s="12">
      <c r="A22" s="16" t="inlineStr">
        <is>
          <t>S4</t>
        </is>
      </c>
      <c r="B22" s="16" t="inlineStr">
        <is>
          <t>MQ4</t>
        </is>
      </c>
      <c r="C22" s="16" t="inlineStr">
        <is>
          <t>Scopus</t>
        </is>
      </c>
      <c r="D22" s="16" t="inlineStr">
        <is>
          <t>(E) AND (F)</t>
        </is>
      </c>
      <c r="E22" s="17" t="n"/>
      <c r="F22" s="16" t="inlineStr">
        <is>
          <t>Title, abstract, keywords</t>
        </is>
      </c>
      <c r="G22" s="17" t="n"/>
      <c r="H22" s="17" t="n"/>
      <c r="I22" s="17" t="n"/>
      <c r="J22" s="17" t="n"/>
    </row>
    <row r="23" ht="23.85" customHeight="1" s="12">
      <c r="A23" s="16" t="inlineStr">
        <is>
          <t>S4</t>
        </is>
      </c>
      <c r="B23" s="16" t="inlineStr">
        <is>
          <t>MQ4</t>
        </is>
      </c>
      <c r="C23" s="16" t="inlineStr">
        <is>
          <t>Web of Science</t>
        </is>
      </c>
      <c r="D23" s="16" t="inlineStr">
        <is>
          <t>(E) AND (F)</t>
        </is>
      </c>
      <c r="E23" s="17" t="n"/>
      <c r="F23" s="16" t="inlineStr">
        <is>
          <t>Title, abstract, keywords</t>
        </is>
      </c>
      <c r="G23" s="17" t="n"/>
      <c r="H23" s="17" t="n"/>
      <c r="I23" s="17" t="n"/>
      <c r="J23" s="17" t="n"/>
    </row>
    <row r="24" ht="23.85" customHeight="1" s="12">
      <c r="A24" s="16" t="inlineStr">
        <is>
          <t>S4</t>
        </is>
      </c>
      <c r="B24" s="16" t="inlineStr">
        <is>
          <t>MQ4</t>
        </is>
      </c>
      <c r="C24" s="16" t="inlineStr">
        <is>
          <t>SpringerLink</t>
        </is>
      </c>
      <c r="D24" s="16" t="inlineStr">
        <is>
          <t>(E) AND (F)</t>
        </is>
      </c>
      <c r="E24" s="17" t="n"/>
      <c r="F24" s="16" t="inlineStr">
        <is>
          <t>Title, abstract, keywords</t>
        </is>
      </c>
      <c r="G24" s="17" t="n"/>
      <c r="H24" s="17" t="n"/>
      <c r="I24" s="17" t="n"/>
      <c r="J24" s="17" t="n"/>
    </row>
    <row r="25" ht="23.85" customHeight="1" s="12">
      <c r="A25" s="16" t="inlineStr">
        <is>
          <t>S4</t>
        </is>
      </c>
      <c r="B25" s="16" t="inlineStr">
        <is>
          <t>MQ4</t>
        </is>
      </c>
      <c r="C25" s="16" t="inlineStr">
        <is>
          <t>ScienceDirect</t>
        </is>
      </c>
      <c r="D25" s="16" t="inlineStr">
        <is>
          <t>(E) AND (F)</t>
        </is>
      </c>
      <c r="E25" s="17" t="n"/>
      <c r="F25" s="16" t="inlineStr">
        <is>
          <t>Title, abstract, keywords</t>
        </is>
      </c>
      <c r="G25" s="17" t="n"/>
      <c r="H25" s="17" t="n"/>
      <c r="I25" s="17" t="n"/>
      <c r="J25" s="17" t="n"/>
    </row>
    <row r="26" ht="23.85" customHeight="1" s="12">
      <c r="A26" s="16" t="inlineStr">
        <is>
          <t>S5</t>
        </is>
      </c>
      <c r="B26" s="16" t="inlineStr">
        <is>
          <t>MQ4, MQ5</t>
        </is>
      </c>
      <c r="C26" s="16" t="inlineStr">
        <is>
          <t>IEEE Xplore</t>
        </is>
      </c>
      <c r="D26" s="16" t="inlineStr">
        <is>
          <t>(E) AND ((A) OR "cyber-physical")</t>
        </is>
      </c>
      <c r="E26" s="17" t="n"/>
      <c r="F26" s="16" t="inlineStr">
        <is>
          <t>Title, abstract, keywords</t>
        </is>
      </c>
      <c r="G26" s="17" t="n"/>
      <c r="H26" s="17" t="n"/>
      <c r="I26" s="17" t="n"/>
      <c r="J26" s="17" t="n"/>
    </row>
    <row r="27" ht="23.85" customHeight="1" s="12">
      <c r="A27" s="16" t="inlineStr">
        <is>
          <t>S5</t>
        </is>
      </c>
      <c r="B27" s="16" t="inlineStr">
        <is>
          <t>MQ4, MQ5</t>
        </is>
      </c>
      <c r="C27" s="16" t="inlineStr">
        <is>
          <t>ACM Digital Library</t>
        </is>
      </c>
      <c r="D27" s="16" t="inlineStr">
        <is>
          <t>(E) AND ((A) OR "cyber-physical")</t>
        </is>
      </c>
      <c r="E27" s="17" t="n"/>
      <c r="F27" s="16" t="inlineStr">
        <is>
          <t>Title, abstract, keywords</t>
        </is>
      </c>
      <c r="G27" s="17" t="n"/>
      <c r="H27" s="17" t="n"/>
      <c r="I27" s="17" t="n"/>
      <c r="J27" s="17" t="n"/>
    </row>
    <row r="28" ht="23.85" customHeight="1" s="12">
      <c r="A28" s="16" t="inlineStr">
        <is>
          <t>S5</t>
        </is>
      </c>
      <c r="B28" s="16" t="inlineStr">
        <is>
          <t>MQ4, MQ5</t>
        </is>
      </c>
      <c r="C28" s="16" t="inlineStr">
        <is>
          <t>Scopus</t>
        </is>
      </c>
      <c r="D28" s="16" t="inlineStr">
        <is>
          <t>(E) AND ((A) OR "cyber-physical")</t>
        </is>
      </c>
      <c r="E28" s="17" t="n"/>
      <c r="F28" s="16" t="inlineStr">
        <is>
          <t>Title, abstract, keywords</t>
        </is>
      </c>
      <c r="G28" s="17" t="n"/>
      <c r="H28" s="17" t="n"/>
      <c r="I28" s="17" t="n"/>
      <c r="J28" s="17" t="n"/>
    </row>
    <row r="29" ht="23.85" customHeight="1" s="12">
      <c r="A29" s="16" t="inlineStr">
        <is>
          <t>S5</t>
        </is>
      </c>
      <c r="B29" s="16" t="inlineStr">
        <is>
          <t>MQ4, MQ5</t>
        </is>
      </c>
      <c r="C29" s="16" t="inlineStr">
        <is>
          <t>Web of Science</t>
        </is>
      </c>
      <c r="D29" s="16" t="inlineStr">
        <is>
          <t>(E) AND ((A) OR "cyber-physical")</t>
        </is>
      </c>
      <c r="E29" s="17" t="n"/>
      <c r="F29" s="16" t="inlineStr">
        <is>
          <t>Title, abstract, keywords</t>
        </is>
      </c>
      <c r="G29" s="17" t="n"/>
      <c r="H29" s="17" t="n"/>
      <c r="I29" s="17" t="n"/>
      <c r="J29" s="17" t="n"/>
    </row>
    <row r="30" ht="23.85" customHeight="1" s="12">
      <c r="A30" s="16" t="inlineStr">
        <is>
          <t>S5</t>
        </is>
      </c>
      <c r="B30" s="16" t="inlineStr">
        <is>
          <t>MQ4, MQ5</t>
        </is>
      </c>
      <c r="C30" s="16" t="inlineStr">
        <is>
          <t>SpringerLink</t>
        </is>
      </c>
      <c r="D30" s="16" t="inlineStr">
        <is>
          <t>(E) AND ((A) OR "cyber-physical")</t>
        </is>
      </c>
      <c r="E30" s="17" t="n"/>
      <c r="F30" s="16" t="inlineStr">
        <is>
          <t>Title, abstract, keywords</t>
        </is>
      </c>
      <c r="G30" s="17" t="n"/>
      <c r="H30" s="17" t="n"/>
      <c r="I30" s="17" t="n"/>
      <c r="J30" s="17" t="n"/>
    </row>
    <row r="31" ht="23.85" customHeight="1" s="12">
      <c r="A31" s="16" t="inlineStr">
        <is>
          <t>S5</t>
        </is>
      </c>
      <c r="B31" s="16" t="inlineStr">
        <is>
          <t>MQ4, MQ5</t>
        </is>
      </c>
      <c r="C31" s="16" t="inlineStr">
        <is>
          <t>ScienceDirect</t>
        </is>
      </c>
      <c r="D31" s="16" t="inlineStr">
        <is>
          <t>(E) AND ((A) OR "cyber-physical")</t>
        </is>
      </c>
      <c r="E31" s="17" t="n"/>
      <c r="F31" s="16" t="inlineStr">
        <is>
          <t>Title, abstract, keywords</t>
        </is>
      </c>
      <c r="G31" s="17" t="n"/>
      <c r="H31" s="17" t="n"/>
      <c r="I31" s="17" t="n"/>
      <c r="J31" s="17" t="n"/>
    </row>
    <row r="33" ht="15" customHeight="1" s="12">
      <c r="A33" s="18" t="inlineStr">
        <is>
          <t>Term blocks</t>
        </is>
      </c>
    </row>
    <row r="34" ht="15" customHeight="1" s="12">
      <c r="A34" s="11" t="inlineStr">
        <is>
          <t>A</t>
        </is>
      </c>
      <c r="E34" s="11" t="inlineStr">
        <is>
          <t>"automated driving" OR "autonomous driving" OR "autonomous vehicle*" OR "automated vehicle*" OR "self-driving"</t>
        </is>
      </c>
    </row>
    <row r="35" ht="15" customHeight="1" s="12">
      <c r="A35" s="11" t="inlineStr">
        <is>
          <t>B</t>
        </is>
      </c>
      <c r="E35" s="11" t="inlineStr">
        <is>
          <t>"operational design domain" OR "operational domain" OR "ODD specification" OR "ODD monitoring"</t>
        </is>
      </c>
    </row>
    <row r="36" ht="15" customHeight="1" s="12">
      <c r="A36" s="11" t="inlineStr">
        <is>
          <t>C</t>
        </is>
      </c>
      <c r="E36" s="11" t="inlineStr">
        <is>
          <t>"safety requirement*" OR "requirement* formali*" OR "natural language requirement*" OR "requirement* traceab*"</t>
        </is>
      </c>
    </row>
    <row r="37" ht="15" customHeight="1" s="12">
      <c r="A37" s="11" t="inlineStr">
        <is>
          <t>D</t>
        </is>
      </c>
      <c r="E37" s="11" t="inlineStr">
        <is>
          <t>"scenario generation" OR "scenario selection" OR "test scenario*" OR "scenario-based testing" OR "critical scenario*"</t>
        </is>
      </c>
    </row>
    <row r="38" ht="15" customHeight="1" s="12">
      <c r="A38" s="11" t="inlineStr">
        <is>
          <t>E</t>
        </is>
      </c>
      <c r="E38" s="11" t="inlineStr">
        <is>
          <t>"quantum annealing" OR QAOA OR QUBO OR Ising OR "quantum optimi*" OR "quantum approximate optimization"</t>
        </is>
      </c>
    </row>
    <row r="39" ht="15" customHeight="1" s="12">
      <c r="A39" s="11" t="inlineStr">
        <is>
          <t>F</t>
        </is>
      </c>
      <c r="E39" s="11" t="inlineStr">
        <is>
          <t>"test case generation" OR "test case selection" OR "test minimi*" OR "test suite" OR "regression testing"</t>
        </is>
      </c>
    </row>
    <row r="40" ht="15" customHeight="1" s="12">
      <c r="A40" s="11" t="inlineStr">
        <is>
          <t>Total hits (all searches)</t>
        </is>
      </c>
      <c r="H40" s="11">
        <f>SUM(H2:H31)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4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1" min="1" max="1"/>
    <col width="50" customWidth="1" style="11" min="2" max="2"/>
    <col width="7" customWidth="1" style="11" min="3" max="3"/>
    <col width="16" customWidth="1" style="11" min="4" max="4"/>
    <col width="11" customWidth="1" style="11" min="5" max="5"/>
    <col width="16" customWidth="1" style="11" min="6" max="6"/>
    <col width="12" customWidth="1" style="11" min="7" max="7"/>
    <col width="16" customWidth="1" style="11" min="8" max="8"/>
    <col width="12" customWidth="1" style="11" min="9" max="9"/>
    <col width="16" customWidth="1" style="11" min="10" max="10"/>
    <col width="11" customWidth="1" style="11" min="11" max="11"/>
  </cols>
  <sheetData>
    <row r="1" ht="35.05" customHeight="1" s="12">
      <c r="A1" s="19" t="inlineStr">
        <is>
          <t>Record ID</t>
        </is>
      </c>
      <c r="B1" s="19" t="inlineStr">
        <is>
          <t>Title</t>
        </is>
      </c>
      <c r="C1" s="19" t="inlineStr">
        <is>
          <t>Year</t>
        </is>
      </c>
      <c r="D1" s="19" t="inlineStr">
        <is>
          <t>Source database(s)</t>
        </is>
      </c>
      <c r="E1" s="19" t="inlineStr">
        <is>
          <t>Duplicate? (Y/N)</t>
        </is>
      </c>
      <c r="F1" s="19" t="inlineStr">
        <is>
          <t>Title/abstract decision (Include/Exclude)</t>
        </is>
      </c>
      <c r="G1" s="19" t="inlineStr">
        <is>
          <t>Reason code (I1-I5 / E1-E5)</t>
        </is>
      </c>
      <c r="H1" s="19" t="inlineStr">
        <is>
          <t>Full-text decision (Include/Exclude)</t>
        </is>
      </c>
      <c r="I1" s="19" t="inlineStr">
        <is>
          <t>Full-text reason code</t>
        </is>
      </c>
      <c r="J1" s="19" t="inlineStr">
        <is>
          <t>Second reviewer decision</t>
        </is>
      </c>
      <c r="K1" s="19" t="inlineStr">
        <is>
          <t>Agreement (auto)</t>
        </is>
      </c>
    </row>
    <row r="2" ht="15" customHeight="1" s="12">
      <c r="A2" s="20" t="n"/>
      <c r="B2" s="20" t="n"/>
      <c r="C2" s="20" t="n"/>
      <c r="D2" s="20" t="n"/>
      <c r="E2" s="20" t="n"/>
      <c r="F2" s="20" t="n"/>
      <c r="G2" s="20" t="n"/>
      <c r="H2" s="20" t="n"/>
      <c r="I2" s="20" t="n"/>
      <c r="J2" s="20" t="n"/>
      <c r="K2" s="11">
        <f>IF(OR(F2="",J2=""),"",IF(F2=J2,1,0))</f>
        <v/>
      </c>
    </row>
    <row r="3" ht="15" customHeight="1" s="12">
      <c r="A3" s="20" t="n"/>
      <c r="B3" s="20" t="n"/>
      <c r="C3" s="20" t="n"/>
      <c r="D3" s="20" t="n"/>
      <c r="E3" s="20" t="n"/>
      <c r="F3" s="20" t="n"/>
      <c r="G3" s="20" t="n"/>
      <c r="H3" s="20" t="n"/>
      <c r="I3" s="20" t="n"/>
      <c r="J3" s="20" t="n"/>
      <c r="K3" s="11">
        <f>IF(OR(F3="",J3=""),"",IF(F3=J3,1,0))</f>
        <v/>
      </c>
    </row>
    <row r="4" ht="15" customHeight="1" s="12">
      <c r="A4" s="20" t="n"/>
      <c r="B4" s="20" t="n"/>
      <c r="C4" s="20" t="n"/>
      <c r="D4" s="20" t="n"/>
      <c r="E4" s="20" t="n"/>
      <c r="F4" s="20" t="n"/>
      <c r="G4" s="20" t="n"/>
      <c r="H4" s="20" t="n"/>
      <c r="I4" s="20" t="n"/>
      <c r="J4" s="20" t="n"/>
      <c r="K4" s="11">
        <f>IF(OR(F4="",J4=""),"",IF(F4=J4,1,0))</f>
        <v/>
      </c>
    </row>
    <row r="5" ht="15" customHeight="1" s="12">
      <c r="A5" s="20" t="n"/>
      <c r="B5" s="20" t="n"/>
      <c r="C5" s="20" t="n"/>
      <c r="D5" s="20" t="n"/>
      <c r="E5" s="20" t="n"/>
      <c r="F5" s="20" t="n"/>
      <c r="G5" s="20" t="n"/>
      <c r="H5" s="20" t="n"/>
      <c r="I5" s="20" t="n"/>
      <c r="J5" s="20" t="n"/>
      <c r="K5" s="11">
        <f>IF(OR(F5="",J5=""),"",IF(F5=J5,1,0))</f>
        <v/>
      </c>
    </row>
    <row r="6" ht="15" customHeight="1" s="12">
      <c r="A6" s="20" t="n"/>
      <c r="B6" s="20" t="n"/>
      <c r="C6" s="20" t="n"/>
      <c r="D6" s="20" t="n"/>
      <c r="E6" s="20" t="n"/>
      <c r="F6" s="20" t="n"/>
      <c r="G6" s="20" t="n"/>
      <c r="H6" s="20" t="n"/>
      <c r="I6" s="20" t="n"/>
      <c r="J6" s="20" t="n"/>
      <c r="K6" s="11">
        <f>IF(OR(F6="",J6=""),"",IF(F6=J6,1,0))</f>
        <v/>
      </c>
    </row>
    <row r="7" ht="15" customHeight="1" s="12">
      <c r="A7" s="20" t="n"/>
      <c r="B7" s="20" t="n"/>
      <c r="C7" s="20" t="n"/>
      <c r="D7" s="20" t="n"/>
      <c r="E7" s="20" t="n"/>
      <c r="F7" s="20" t="n"/>
      <c r="G7" s="20" t="n"/>
      <c r="H7" s="20" t="n"/>
      <c r="I7" s="20" t="n"/>
      <c r="J7" s="20" t="n"/>
      <c r="K7" s="11">
        <f>IF(OR(F7="",J7=""),"",IF(F7=J7,1,0))</f>
        <v/>
      </c>
    </row>
    <row r="8" ht="15" customHeight="1" s="12">
      <c r="A8" s="20" t="n"/>
      <c r="B8" s="20" t="n"/>
      <c r="C8" s="20" t="n"/>
      <c r="D8" s="20" t="n"/>
      <c r="E8" s="20" t="n"/>
      <c r="F8" s="20" t="n"/>
      <c r="G8" s="20" t="n"/>
      <c r="H8" s="20" t="n"/>
      <c r="I8" s="20" t="n"/>
      <c r="J8" s="20" t="n"/>
      <c r="K8" s="11">
        <f>IF(OR(F8="",J8=""),"",IF(F8=J8,1,0))</f>
        <v/>
      </c>
    </row>
    <row r="9" ht="15" customHeight="1" s="12">
      <c r="A9" s="20" t="n"/>
      <c r="B9" s="20" t="n"/>
      <c r="C9" s="20" t="n"/>
      <c r="D9" s="20" t="n"/>
      <c r="E9" s="20" t="n"/>
      <c r="F9" s="20" t="n"/>
      <c r="G9" s="20" t="n"/>
      <c r="H9" s="20" t="n"/>
      <c r="I9" s="20" t="n"/>
      <c r="J9" s="20" t="n"/>
      <c r="K9" s="11">
        <f>IF(OR(F9="",J9=""),"",IF(F9=J9,1,0))</f>
        <v/>
      </c>
    </row>
    <row r="10" ht="15" customHeight="1" s="12">
      <c r="A10" s="20" t="n"/>
      <c r="B10" s="20" t="n"/>
      <c r="C10" s="20" t="n"/>
      <c r="D10" s="20" t="n"/>
      <c r="E10" s="20" t="n"/>
      <c r="F10" s="20" t="n"/>
      <c r="G10" s="20" t="n"/>
      <c r="H10" s="20" t="n"/>
      <c r="I10" s="20" t="n"/>
      <c r="J10" s="20" t="n"/>
      <c r="K10" s="11">
        <f>IF(OR(F10="",J10=""),"",IF(F10=J10,1,0))</f>
        <v/>
      </c>
    </row>
    <row r="11" ht="15" customHeight="1" s="12">
      <c r="A11" s="20" t="n"/>
      <c r="B11" s="20" t="n"/>
      <c r="C11" s="20" t="n"/>
      <c r="D11" s="20" t="n"/>
      <c r="E11" s="20" t="n"/>
      <c r="F11" s="20" t="n"/>
      <c r="G11" s="20" t="n"/>
      <c r="H11" s="20" t="n"/>
      <c r="I11" s="20" t="n"/>
      <c r="J11" s="20" t="n"/>
      <c r="K11" s="11">
        <f>IF(OR(F11="",J11=""),"",IF(F11=J11,1,0))</f>
        <v/>
      </c>
    </row>
    <row r="12" ht="15" customHeight="1" s="12">
      <c r="A12" s="20" t="n"/>
      <c r="B12" s="20" t="n"/>
      <c r="C12" s="20" t="n"/>
      <c r="D12" s="20" t="n"/>
      <c r="E12" s="20" t="n"/>
      <c r="F12" s="20" t="n"/>
      <c r="G12" s="20" t="n"/>
      <c r="H12" s="20" t="n"/>
      <c r="I12" s="20" t="n"/>
      <c r="J12" s="20" t="n"/>
      <c r="K12" s="11">
        <f>IF(OR(F12="",J12=""),"",IF(F12=J12,1,0))</f>
        <v/>
      </c>
    </row>
    <row r="13" ht="15" customHeight="1" s="12">
      <c r="A13" s="20" t="n"/>
      <c r="B13" s="20" t="n"/>
      <c r="C13" s="20" t="n"/>
      <c r="D13" s="20" t="n"/>
      <c r="E13" s="20" t="n"/>
      <c r="F13" s="20" t="n"/>
      <c r="G13" s="20" t="n"/>
      <c r="H13" s="20" t="n"/>
      <c r="I13" s="20" t="n"/>
      <c r="J13" s="20" t="n"/>
      <c r="K13" s="11">
        <f>IF(OR(F13="",J13=""),"",IF(F13=J13,1,0))</f>
        <v/>
      </c>
    </row>
    <row r="14" ht="15" customHeight="1" s="12">
      <c r="A14" s="20" t="n"/>
      <c r="B14" s="20" t="n"/>
      <c r="C14" s="20" t="n"/>
      <c r="D14" s="20" t="n"/>
      <c r="E14" s="20" t="n"/>
      <c r="F14" s="20" t="n"/>
      <c r="G14" s="20" t="n"/>
      <c r="H14" s="20" t="n"/>
      <c r="I14" s="20" t="n"/>
      <c r="J14" s="20" t="n"/>
      <c r="K14" s="11">
        <f>IF(OR(F14="",J14=""),"",IF(F14=J14,1,0))</f>
        <v/>
      </c>
    </row>
    <row r="15" ht="15" customHeight="1" s="12">
      <c r="A15" s="20" t="n"/>
      <c r="B15" s="20" t="n"/>
      <c r="C15" s="20" t="n"/>
      <c r="D15" s="20" t="n"/>
      <c r="E15" s="20" t="n"/>
      <c r="F15" s="20" t="n"/>
      <c r="G15" s="20" t="n"/>
      <c r="H15" s="20" t="n"/>
      <c r="I15" s="20" t="n"/>
      <c r="J15" s="20" t="n"/>
      <c r="K15" s="11">
        <f>IF(OR(F15="",J15=""),"",IF(F15=J15,1,0))</f>
        <v/>
      </c>
    </row>
    <row r="16" ht="15" customHeight="1" s="12">
      <c r="A16" s="20" t="n"/>
      <c r="B16" s="20" t="n"/>
      <c r="C16" s="20" t="n"/>
      <c r="D16" s="20" t="n"/>
      <c r="E16" s="20" t="n"/>
      <c r="F16" s="20" t="n"/>
      <c r="G16" s="20" t="n"/>
      <c r="H16" s="20" t="n"/>
      <c r="I16" s="20" t="n"/>
      <c r="J16" s="20" t="n"/>
      <c r="K16" s="11">
        <f>IF(OR(F16="",J16=""),"",IF(F16=J16,1,0))</f>
        <v/>
      </c>
    </row>
    <row r="17" ht="15" customHeight="1" s="12">
      <c r="A17" s="20" t="n"/>
      <c r="B17" s="20" t="n"/>
      <c r="C17" s="20" t="n"/>
      <c r="D17" s="20" t="n"/>
      <c r="E17" s="20" t="n"/>
      <c r="F17" s="20" t="n"/>
      <c r="G17" s="20" t="n"/>
      <c r="H17" s="20" t="n"/>
      <c r="I17" s="20" t="n"/>
      <c r="J17" s="20" t="n"/>
      <c r="K17" s="11">
        <f>IF(OR(F17="",J17=""),"",IF(F17=J17,1,0))</f>
        <v/>
      </c>
    </row>
    <row r="18" ht="15" customHeight="1" s="12">
      <c r="A18" s="20" t="n"/>
      <c r="B18" s="20" t="n"/>
      <c r="C18" s="20" t="n"/>
      <c r="D18" s="20" t="n"/>
      <c r="E18" s="20" t="n"/>
      <c r="F18" s="20" t="n"/>
      <c r="G18" s="20" t="n"/>
      <c r="H18" s="20" t="n"/>
      <c r="I18" s="20" t="n"/>
      <c r="J18" s="20" t="n"/>
      <c r="K18" s="11">
        <f>IF(OR(F18="",J18=""),"",IF(F18=J18,1,0))</f>
        <v/>
      </c>
    </row>
    <row r="19" ht="15" customHeight="1" s="12">
      <c r="A19" s="20" t="n"/>
      <c r="B19" s="20" t="n"/>
      <c r="C19" s="20" t="n"/>
      <c r="D19" s="20" t="n"/>
      <c r="E19" s="20" t="n"/>
      <c r="F19" s="20" t="n"/>
      <c r="G19" s="20" t="n"/>
      <c r="H19" s="20" t="n"/>
      <c r="I19" s="20" t="n"/>
      <c r="J19" s="20" t="n"/>
      <c r="K19" s="11">
        <f>IF(OR(F19="",J19=""),"",IF(F19=J19,1,0))</f>
        <v/>
      </c>
    </row>
    <row r="20" ht="15" customHeight="1" s="12">
      <c r="A20" s="20" t="n"/>
      <c r="B20" s="20" t="n"/>
      <c r="C20" s="20" t="n"/>
      <c r="D20" s="20" t="n"/>
      <c r="E20" s="20" t="n"/>
      <c r="F20" s="20" t="n"/>
      <c r="G20" s="20" t="n"/>
      <c r="H20" s="20" t="n"/>
      <c r="I20" s="20" t="n"/>
      <c r="J20" s="20" t="n"/>
      <c r="K20" s="11">
        <f>IF(OR(F20="",J20=""),"",IF(F20=J20,1,0))</f>
        <v/>
      </c>
    </row>
    <row r="21" ht="15" customHeight="1" s="12">
      <c r="A21" s="20" t="n"/>
      <c r="B21" s="20" t="n"/>
      <c r="C21" s="20" t="n"/>
      <c r="D21" s="20" t="n"/>
      <c r="E21" s="20" t="n"/>
      <c r="F21" s="20" t="n"/>
      <c r="G21" s="20" t="n"/>
      <c r="H21" s="20" t="n"/>
      <c r="I21" s="20" t="n"/>
      <c r="J21" s="20" t="n"/>
      <c r="K21" s="11">
        <f>IF(OR(F21="",J21=""),"",IF(F21=J21,1,0))</f>
        <v/>
      </c>
    </row>
    <row r="22" ht="15" customHeight="1" s="12">
      <c r="A22" s="20" t="n"/>
      <c r="B22" s="20" t="n"/>
      <c r="C22" s="20" t="n"/>
      <c r="D22" s="20" t="n"/>
      <c r="E22" s="20" t="n"/>
      <c r="F22" s="20" t="n"/>
      <c r="G22" s="20" t="n"/>
      <c r="H22" s="20" t="n"/>
      <c r="I22" s="20" t="n"/>
      <c r="J22" s="20" t="n"/>
      <c r="K22" s="11">
        <f>IF(OR(F22="",J22=""),"",IF(F22=J22,1,0))</f>
        <v/>
      </c>
    </row>
    <row r="23" ht="15" customHeight="1" s="12">
      <c r="A23" s="20" t="n"/>
      <c r="B23" s="20" t="n"/>
      <c r="C23" s="20" t="n"/>
      <c r="D23" s="20" t="n"/>
      <c r="E23" s="20" t="n"/>
      <c r="F23" s="20" t="n"/>
      <c r="G23" s="20" t="n"/>
      <c r="H23" s="20" t="n"/>
      <c r="I23" s="20" t="n"/>
      <c r="J23" s="20" t="n"/>
      <c r="K23" s="11">
        <f>IF(OR(F23="",J23=""),"",IF(F23=J23,1,0))</f>
        <v/>
      </c>
    </row>
    <row r="24" ht="15" customHeight="1" s="12">
      <c r="A24" s="20" t="n"/>
      <c r="B24" s="20" t="n"/>
      <c r="C24" s="20" t="n"/>
      <c r="D24" s="20" t="n"/>
      <c r="E24" s="20" t="n"/>
      <c r="F24" s="20" t="n"/>
      <c r="G24" s="20" t="n"/>
      <c r="H24" s="20" t="n"/>
      <c r="I24" s="20" t="n"/>
      <c r="J24" s="20" t="n"/>
      <c r="K24" s="11">
        <f>IF(OR(F24="",J24=""),"",IF(F24=J24,1,0))</f>
        <v/>
      </c>
    </row>
    <row r="25" ht="15" customHeight="1" s="12">
      <c r="A25" s="20" t="n"/>
      <c r="B25" s="20" t="n"/>
      <c r="C25" s="20" t="n"/>
      <c r="D25" s="20" t="n"/>
      <c r="E25" s="20" t="n"/>
      <c r="F25" s="20" t="n"/>
      <c r="G25" s="20" t="n"/>
      <c r="H25" s="20" t="n"/>
      <c r="I25" s="20" t="n"/>
      <c r="J25" s="20" t="n"/>
      <c r="K25" s="11">
        <f>IF(OR(F25="",J25=""),"",IF(F25=J25,1,0))</f>
        <v/>
      </c>
    </row>
    <row r="26" ht="15" customHeight="1" s="12">
      <c r="A26" s="20" t="n"/>
      <c r="B26" s="20" t="n"/>
      <c r="C26" s="20" t="n"/>
      <c r="D26" s="20" t="n"/>
      <c r="E26" s="20" t="n"/>
      <c r="F26" s="20" t="n"/>
      <c r="G26" s="20" t="n"/>
      <c r="H26" s="20" t="n"/>
      <c r="I26" s="20" t="n"/>
      <c r="J26" s="20" t="n"/>
      <c r="K26" s="11">
        <f>IF(OR(F26="",J26=""),"",IF(F26=J26,1,0))</f>
        <v/>
      </c>
    </row>
    <row r="27" ht="15" customHeight="1" s="12">
      <c r="A27" s="20" t="n"/>
      <c r="B27" s="20" t="n"/>
      <c r="C27" s="20" t="n"/>
      <c r="D27" s="20" t="n"/>
      <c r="E27" s="20" t="n"/>
      <c r="F27" s="20" t="n"/>
      <c r="G27" s="20" t="n"/>
      <c r="H27" s="20" t="n"/>
      <c r="I27" s="20" t="n"/>
      <c r="J27" s="20" t="n"/>
      <c r="K27" s="11">
        <f>IF(OR(F27="",J27=""),"",IF(F27=J27,1,0))</f>
        <v/>
      </c>
    </row>
    <row r="28" ht="15" customHeight="1" s="12">
      <c r="A28" s="20" t="n"/>
      <c r="B28" s="20" t="n"/>
      <c r="C28" s="20" t="n"/>
      <c r="D28" s="20" t="n"/>
      <c r="E28" s="20" t="n"/>
      <c r="F28" s="20" t="n"/>
      <c r="G28" s="20" t="n"/>
      <c r="H28" s="20" t="n"/>
      <c r="I28" s="20" t="n"/>
      <c r="J28" s="20" t="n"/>
      <c r="K28" s="11">
        <f>IF(OR(F28="",J28=""),"",IF(F28=J28,1,0))</f>
        <v/>
      </c>
    </row>
    <row r="29" ht="15" customHeight="1" s="12">
      <c r="A29" s="20" t="n"/>
      <c r="B29" s="20" t="n"/>
      <c r="C29" s="20" t="n"/>
      <c r="D29" s="20" t="n"/>
      <c r="E29" s="20" t="n"/>
      <c r="F29" s="20" t="n"/>
      <c r="G29" s="20" t="n"/>
      <c r="H29" s="20" t="n"/>
      <c r="I29" s="20" t="n"/>
      <c r="J29" s="20" t="n"/>
      <c r="K29" s="11">
        <f>IF(OR(F29="",J29=""),"",IF(F29=J29,1,0))</f>
        <v/>
      </c>
    </row>
    <row r="30" ht="15" customHeight="1" s="12">
      <c r="A30" s="20" t="n"/>
      <c r="B30" s="20" t="n"/>
      <c r="C30" s="20" t="n"/>
      <c r="D30" s="20" t="n"/>
      <c r="E30" s="20" t="n"/>
      <c r="F30" s="20" t="n"/>
      <c r="G30" s="20" t="n"/>
      <c r="H30" s="20" t="n"/>
      <c r="I30" s="20" t="n"/>
      <c r="J30" s="20" t="n"/>
      <c r="K30" s="11">
        <f>IF(OR(F30="",J30=""),"",IF(F30=J30,1,0))</f>
        <v/>
      </c>
    </row>
    <row r="31" ht="15" customHeight="1" s="12">
      <c r="A31" s="20" t="n"/>
      <c r="B31" s="20" t="n"/>
      <c r="C31" s="20" t="n"/>
      <c r="D31" s="20" t="n"/>
      <c r="E31" s="20" t="n"/>
      <c r="F31" s="20" t="n"/>
      <c r="G31" s="20" t="n"/>
      <c r="H31" s="20" t="n"/>
      <c r="I31" s="20" t="n"/>
      <c r="J31" s="20" t="n"/>
      <c r="K31" s="11">
        <f>IF(OR(F31="",J31=""),"",IF(F31=J31,1,0))</f>
        <v/>
      </c>
    </row>
    <row r="32" ht="15" customHeight="1" s="12">
      <c r="A32" s="20" t="n"/>
      <c r="B32" s="20" t="n"/>
      <c r="C32" s="20" t="n"/>
      <c r="D32" s="20" t="n"/>
      <c r="E32" s="20" t="n"/>
      <c r="F32" s="20" t="n"/>
      <c r="G32" s="20" t="n"/>
      <c r="H32" s="20" t="n"/>
      <c r="I32" s="20" t="n"/>
      <c r="J32" s="20" t="n"/>
      <c r="K32" s="11">
        <f>IF(OR(F32="",J32=""),"",IF(F32=J32,1,0))</f>
        <v/>
      </c>
    </row>
    <row r="33" ht="15" customHeight="1" s="12">
      <c r="A33" s="20" t="n"/>
      <c r="B33" s="20" t="n"/>
      <c r="C33" s="20" t="n"/>
      <c r="D33" s="20" t="n"/>
      <c r="E33" s="20" t="n"/>
      <c r="F33" s="20" t="n"/>
      <c r="G33" s="20" t="n"/>
      <c r="H33" s="20" t="n"/>
      <c r="I33" s="20" t="n"/>
      <c r="J33" s="20" t="n"/>
      <c r="K33" s="11">
        <f>IF(OR(F33="",J33=""),"",IF(F33=J33,1,0))</f>
        <v/>
      </c>
    </row>
    <row r="34" ht="15" customHeight="1" s="12">
      <c r="A34" s="20" t="n"/>
      <c r="B34" s="20" t="n"/>
      <c r="C34" s="20" t="n"/>
      <c r="D34" s="20" t="n"/>
      <c r="E34" s="20" t="n"/>
      <c r="F34" s="20" t="n"/>
      <c r="G34" s="20" t="n"/>
      <c r="H34" s="20" t="n"/>
      <c r="I34" s="20" t="n"/>
      <c r="J34" s="20" t="n"/>
      <c r="K34" s="11">
        <f>IF(OR(F34="",J34=""),"",IF(F34=J34,1,0))</f>
        <v/>
      </c>
    </row>
    <row r="35" ht="15" customHeight="1" s="12">
      <c r="A35" s="20" t="n"/>
      <c r="B35" s="20" t="n"/>
      <c r="C35" s="20" t="n"/>
      <c r="D35" s="20" t="n"/>
      <c r="E35" s="20" t="n"/>
      <c r="F35" s="20" t="n"/>
      <c r="G35" s="20" t="n"/>
      <c r="H35" s="20" t="n"/>
      <c r="I35" s="20" t="n"/>
      <c r="J35" s="20" t="n"/>
      <c r="K35" s="11">
        <f>IF(OR(F35="",J35=""),"",IF(F35=J35,1,0))</f>
        <v/>
      </c>
    </row>
    <row r="36" ht="15" customHeight="1" s="12">
      <c r="A36" s="20" t="n"/>
      <c r="B36" s="20" t="n"/>
      <c r="C36" s="20" t="n"/>
      <c r="D36" s="20" t="n"/>
      <c r="E36" s="20" t="n"/>
      <c r="F36" s="20" t="n"/>
      <c r="G36" s="20" t="n"/>
      <c r="H36" s="20" t="n"/>
      <c r="I36" s="20" t="n"/>
      <c r="J36" s="20" t="n"/>
      <c r="K36" s="11">
        <f>IF(OR(F36="",J36=""),"",IF(F36=J36,1,0))</f>
        <v/>
      </c>
    </row>
    <row r="37" ht="15" customHeight="1" s="12">
      <c r="A37" s="20" t="n"/>
      <c r="B37" s="20" t="n"/>
      <c r="C37" s="20" t="n"/>
      <c r="D37" s="20" t="n"/>
      <c r="E37" s="20" t="n"/>
      <c r="F37" s="20" t="n"/>
      <c r="G37" s="20" t="n"/>
      <c r="H37" s="20" t="n"/>
      <c r="I37" s="20" t="n"/>
      <c r="J37" s="20" t="n"/>
      <c r="K37" s="11">
        <f>IF(OR(F37="",J37=""),"",IF(F37=J37,1,0))</f>
        <v/>
      </c>
    </row>
    <row r="38" ht="15" customHeight="1" s="12">
      <c r="A38" s="20" t="n"/>
      <c r="B38" s="20" t="n"/>
      <c r="C38" s="20" t="n"/>
      <c r="D38" s="20" t="n"/>
      <c r="E38" s="20" t="n"/>
      <c r="F38" s="20" t="n"/>
      <c r="G38" s="20" t="n"/>
      <c r="H38" s="20" t="n"/>
      <c r="I38" s="20" t="n"/>
      <c r="J38" s="20" t="n"/>
      <c r="K38" s="11">
        <f>IF(OR(F38="",J38=""),"",IF(F38=J38,1,0))</f>
        <v/>
      </c>
    </row>
    <row r="39" ht="15" customHeight="1" s="12">
      <c r="A39" s="20" t="n"/>
      <c r="B39" s="20" t="n"/>
      <c r="C39" s="20" t="n"/>
      <c r="D39" s="20" t="n"/>
      <c r="E39" s="20" t="n"/>
      <c r="F39" s="20" t="n"/>
      <c r="G39" s="20" t="n"/>
      <c r="H39" s="20" t="n"/>
      <c r="I39" s="20" t="n"/>
      <c r="J39" s="20" t="n"/>
      <c r="K39" s="11">
        <f>IF(OR(F39="",J39=""),"",IF(F39=J39,1,0))</f>
        <v/>
      </c>
    </row>
    <row r="40" ht="15" customHeight="1" s="12">
      <c r="A40" s="20" t="n"/>
      <c r="B40" s="20" t="n"/>
      <c r="C40" s="20" t="n"/>
      <c r="D40" s="20" t="n"/>
      <c r="E40" s="20" t="n"/>
      <c r="F40" s="20" t="n"/>
      <c r="G40" s="20" t="n"/>
      <c r="H40" s="20" t="n"/>
      <c r="I40" s="20" t="n"/>
      <c r="J40" s="20" t="n"/>
      <c r="K40" s="11">
        <f>IF(OR(F40="",J40=""),"",IF(F40=J40,1,0))</f>
        <v/>
      </c>
    </row>
    <row r="41" ht="15" customHeight="1" s="12">
      <c r="A41" s="20" t="n"/>
      <c r="B41" s="20" t="n"/>
      <c r="C41" s="20" t="n"/>
      <c r="D41" s="20" t="n"/>
      <c r="E41" s="20" t="n"/>
      <c r="F41" s="20" t="n"/>
      <c r="G41" s="20" t="n"/>
      <c r="H41" s="20" t="n"/>
      <c r="I41" s="20" t="n"/>
      <c r="J41" s="20" t="n"/>
      <c r="K41" s="11">
        <f>IF(OR(F41="",J41=""),"",IF(F41=J41,1,0))</f>
        <v/>
      </c>
    </row>
    <row r="42" ht="15" customHeight="1" s="12">
      <c r="A42" s="20" t="n"/>
      <c r="B42" s="20" t="n"/>
      <c r="C42" s="20" t="n"/>
      <c r="D42" s="20" t="n"/>
      <c r="E42" s="20" t="n"/>
      <c r="F42" s="20" t="n"/>
      <c r="G42" s="20" t="n"/>
      <c r="H42" s="20" t="n"/>
      <c r="I42" s="20" t="n"/>
      <c r="J42" s="20" t="n"/>
      <c r="K42" s="11">
        <f>IF(OR(F42="",J42=""),"",IF(F42=J42,1,0))</f>
        <v/>
      </c>
    </row>
    <row r="43" ht="15" customHeight="1" s="12">
      <c r="A43" s="20" t="n"/>
      <c r="B43" s="20" t="n"/>
      <c r="C43" s="20" t="n"/>
      <c r="D43" s="20" t="n"/>
      <c r="E43" s="20" t="n"/>
      <c r="F43" s="20" t="n"/>
      <c r="G43" s="20" t="n"/>
      <c r="H43" s="20" t="n"/>
      <c r="I43" s="20" t="n"/>
      <c r="J43" s="20" t="n"/>
      <c r="K43" s="11">
        <f>IF(OR(F43="",J43=""),"",IF(F43=J43,1,0))</f>
        <v/>
      </c>
    </row>
    <row r="44" ht="15" customHeight="1" s="12">
      <c r="A44" s="20" t="n"/>
      <c r="B44" s="20" t="n"/>
      <c r="C44" s="20" t="n"/>
      <c r="D44" s="20" t="n"/>
      <c r="E44" s="20" t="n"/>
      <c r="F44" s="20" t="n"/>
      <c r="G44" s="20" t="n"/>
      <c r="H44" s="20" t="n"/>
      <c r="I44" s="20" t="n"/>
      <c r="J44" s="20" t="n"/>
      <c r="K44" s="11">
        <f>IF(OR(F44="",J44=""),"",IF(F44=J44,1,0))</f>
        <v/>
      </c>
    </row>
    <row r="45" ht="15" customHeight="1" s="12">
      <c r="A45" s="20" t="n"/>
      <c r="B45" s="20" t="n"/>
      <c r="C45" s="20" t="n"/>
      <c r="D45" s="20" t="n"/>
      <c r="E45" s="20" t="n"/>
      <c r="F45" s="20" t="n"/>
      <c r="G45" s="20" t="n"/>
      <c r="H45" s="20" t="n"/>
      <c r="I45" s="20" t="n"/>
      <c r="J45" s="20" t="n"/>
      <c r="K45" s="11">
        <f>IF(OR(F45="",J45=""),"",IF(F45=J45,1,0))</f>
        <v/>
      </c>
    </row>
    <row r="46" ht="15" customHeight="1" s="12">
      <c r="A46" s="20" t="n"/>
      <c r="B46" s="20" t="n"/>
      <c r="C46" s="20" t="n"/>
      <c r="D46" s="20" t="n"/>
      <c r="E46" s="20" t="n"/>
      <c r="F46" s="20" t="n"/>
      <c r="G46" s="20" t="n"/>
      <c r="H46" s="20" t="n"/>
      <c r="I46" s="20" t="n"/>
      <c r="J46" s="20" t="n"/>
      <c r="K46" s="11">
        <f>IF(OR(F46="",J46=""),"",IF(F46=J46,1,0))</f>
        <v/>
      </c>
    </row>
    <row r="47" ht="15" customHeight="1" s="12">
      <c r="A47" s="20" t="n"/>
      <c r="B47" s="20" t="n"/>
      <c r="C47" s="20" t="n"/>
      <c r="D47" s="20" t="n"/>
      <c r="E47" s="20" t="n"/>
      <c r="F47" s="20" t="n"/>
      <c r="G47" s="20" t="n"/>
      <c r="H47" s="20" t="n"/>
      <c r="I47" s="20" t="n"/>
      <c r="J47" s="20" t="n"/>
      <c r="K47" s="11">
        <f>IF(OR(F47="",J47=""),"",IF(F47=J47,1,0))</f>
        <v/>
      </c>
    </row>
    <row r="48" ht="15" customHeight="1" s="12">
      <c r="A48" s="20" t="n"/>
      <c r="B48" s="20" t="n"/>
      <c r="C48" s="20" t="n"/>
      <c r="D48" s="20" t="n"/>
      <c r="E48" s="20" t="n"/>
      <c r="F48" s="20" t="n"/>
      <c r="G48" s="20" t="n"/>
      <c r="H48" s="20" t="n"/>
      <c r="I48" s="20" t="n"/>
      <c r="J48" s="20" t="n"/>
      <c r="K48" s="11">
        <f>IF(OR(F48="",J48=""),"",IF(F48=J48,1,0))</f>
        <v/>
      </c>
    </row>
    <row r="49" ht="15" customHeight="1" s="12">
      <c r="A49" s="20" t="n"/>
      <c r="B49" s="20" t="n"/>
      <c r="C49" s="20" t="n"/>
      <c r="D49" s="20" t="n"/>
      <c r="E49" s="20" t="n"/>
      <c r="F49" s="20" t="n"/>
      <c r="G49" s="20" t="n"/>
      <c r="H49" s="20" t="n"/>
      <c r="I49" s="20" t="n"/>
      <c r="J49" s="20" t="n"/>
      <c r="K49" s="11">
        <f>IF(OR(F49="",J49=""),"",IF(F49=J49,1,0))</f>
        <v/>
      </c>
    </row>
    <row r="50" ht="15" customHeight="1" s="12">
      <c r="A50" s="20" t="n"/>
      <c r="B50" s="20" t="n"/>
      <c r="C50" s="20" t="n"/>
      <c r="D50" s="20" t="n"/>
      <c r="E50" s="20" t="n"/>
      <c r="F50" s="20" t="n"/>
      <c r="G50" s="20" t="n"/>
      <c r="H50" s="20" t="n"/>
      <c r="I50" s="20" t="n"/>
      <c r="J50" s="20" t="n"/>
      <c r="K50" s="11">
        <f>IF(OR(F50="",J50=""),"",IF(F50=J50,1,0))</f>
        <v/>
      </c>
    </row>
    <row r="51" ht="15" customHeight="1" s="12">
      <c r="A51" s="20" t="n"/>
      <c r="B51" s="20" t="n"/>
      <c r="C51" s="20" t="n"/>
      <c r="D51" s="20" t="n"/>
      <c r="E51" s="20" t="n"/>
      <c r="F51" s="20" t="n"/>
      <c r="G51" s="20" t="n"/>
      <c r="H51" s="20" t="n"/>
      <c r="I51" s="20" t="n"/>
      <c r="J51" s="20" t="n"/>
      <c r="K51" s="11">
        <f>IF(OR(F51="",J51=""),"",IF(F51=J51,1,0))</f>
        <v/>
      </c>
    </row>
    <row r="52" ht="15" customHeight="1" s="12">
      <c r="A52" s="20" t="n"/>
      <c r="B52" s="20" t="n"/>
      <c r="C52" s="20" t="n"/>
      <c r="D52" s="20" t="n"/>
      <c r="E52" s="20" t="n"/>
      <c r="F52" s="20" t="n"/>
      <c r="G52" s="20" t="n"/>
      <c r="H52" s="20" t="n"/>
      <c r="I52" s="20" t="n"/>
      <c r="J52" s="20" t="n"/>
      <c r="K52" s="11">
        <f>IF(OR(F52="",J52=""),"",IF(F52=J52,1,0))</f>
        <v/>
      </c>
    </row>
    <row r="53" ht="15" customHeight="1" s="12">
      <c r="A53" s="20" t="n"/>
      <c r="B53" s="20" t="n"/>
      <c r="C53" s="20" t="n"/>
      <c r="D53" s="20" t="n"/>
      <c r="E53" s="20" t="n"/>
      <c r="F53" s="20" t="n"/>
      <c r="G53" s="20" t="n"/>
      <c r="H53" s="20" t="n"/>
      <c r="I53" s="20" t="n"/>
      <c r="J53" s="20" t="n"/>
      <c r="K53" s="11">
        <f>IF(OR(F53="",J53=""),"",IF(F53=J53,1,0))</f>
        <v/>
      </c>
    </row>
    <row r="54" ht="15" customHeight="1" s="12">
      <c r="A54" s="20" t="n"/>
      <c r="B54" s="20" t="n"/>
      <c r="C54" s="20" t="n"/>
      <c r="D54" s="20" t="n"/>
      <c r="E54" s="20" t="n"/>
      <c r="F54" s="20" t="n"/>
      <c r="G54" s="20" t="n"/>
      <c r="H54" s="20" t="n"/>
      <c r="I54" s="20" t="n"/>
      <c r="J54" s="20" t="n"/>
      <c r="K54" s="11">
        <f>IF(OR(F54="",J54=""),"",IF(F54=J54,1,0))</f>
        <v/>
      </c>
    </row>
    <row r="55" ht="15" customHeight="1" s="12">
      <c r="A55" s="20" t="n"/>
      <c r="B55" s="20" t="n"/>
      <c r="C55" s="20" t="n"/>
      <c r="D55" s="20" t="n"/>
      <c r="E55" s="20" t="n"/>
      <c r="F55" s="20" t="n"/>
      <c r="G55" s="20" t="n"/>
      <c r="H55" s="20" t="n"/>
      <c r="I55" s="20" t="n"/>
      <c r="J55" s="20" t="n"/>
      <c r="K55" s="11">
        <f>IF(OR(F55="",J55=""),"",IF(F55=J55,1,0))</f>
        <v/>
      </c>
    </row>
    <row r="56" ht="15" customHeight="1" s="12">
      <c r="A56" s="20" t="n"/>
      <c r="B56" s="20" t="n"/>
      <c r="C56" s="20" t="n"/>
      <c r="D56" s="20" t="n"/>
      <c r="E56" s="20" t="n"/>
      <c r="F56" s="20" t="n"/>
      <c r="G56" s="20" t="n"/>
      <c r="H56" s="20" t="n"/>
      <c r="I56" s="20" t="n"/>
      <c r="J56" s="20" t="n"/>
      <c r="K56" s="11">
        <f>IF(OR(F56="",J56=""),"",IF(F56=J56,1,0))</f>
        <v/>
      </c>
    </row>
    <row r="57" ht="15" customHeight="1" s="12">
      <c r="A57" s="20" t="n"/>
      <c r="B57" s="20" t="n"/>
      <c r="C57" s="20" t="n"/>
      <c r="D57" s="20" t="n"/>
      <c r="E57" s="20" t="n"/>
      <c r="F57" s="20" t="n"/>
      <c r="G57" s="20" t="n"/>
      <c r="H57" s="20" t="n"/>
      <c r="I57" s="20" t="n"/>
      <c r="J57" s="20" t="n"/>
      <c r="K57" s="11">
        <f>IF(OR(F57="",J57=""),"",IF(F57=J57,1,0))</f>
        <v/>
      </c>
    </row>
    <row r="58" ht="15" customHeight="1" s="12">
      <c r="A58" s="20" t="n"/>
      <c r="B58" s="20" t="n"/>
      <c r="C58" s="20" t="n"/>
      <c r="D58" s="20" t="n"/>
      <c r="E58" s="20" t="n"/>
      <c r="F58" s="20" t="n"/>
      <c r="G58" s="20" t="n"/>
      <c r="H58" s="20" t="n"/>
      <c r="I58" s="20" t="n"/>
      <c r="J58" s="20" t="n"/>
      <c r="K58" s="11">
        <f>IF(OR(F58="",J58=""),"",IF(F58=J58,1,0))</f>
        <v/>
      </c>
    </row>
    <row r="59" ht="15" customHeight="1" s="12">
      <c r="A59" s="20" t="n"/>
      <c r="B59" s="20" t="n"/>
      <c r="C59" s="20" t="n"/>
      <c r="D59" s="20" t="n"/>
      <c r="E59" s="20" t="n"/>
      <c r="F59" s="20" t="n"/>
      <c r="G59" s="20" t="n"/>
      <c r="H59" s="20" t="n"/>
      <c r="I59" s="20" t="n"/>
      <c r="J59" s="20" t="n"/>
      <c r="K59" s="11">
        <f>IF(OR(F59="",J59=""),"",IF(F59=J59,1,0))</f>
        <v/>
      </c>
    </row>
    <row r="60" ht="15" customHeight="1" s="12">
      <c r="A60" s="20" t="n"/>
      <c r="B60" s="20" t="n"/>
      <c r="C60" s="20" t="n"/>
      <c r="D60" s="20" t="n"/>
      <c r="E60" s="20" t="n"/>
      <c r="F60" s="20" t="n"/>
      <c r="G60" s="20" t="n"/>
      <c r="H60" s="20" t="n"/>
      <c r="I60" s="20" t="n"/>
      <c r="J60" s="20" t="n"/>
      <c r="K60" s="11">
        <f>IF(OR(F60="",J60=""),"",IF(F60=J60,1,0))</f>
        <v/>
      </c>
    </row>
    <row r="61" ht="15" customHeight="1" s="12">
      <c r="A61" s="20" t="n"/>
      <c r="B61" s="20" t="n"/>
      <c r="C61" s="20" t="n"/>
      <c r="D61" s="20" t="n"/>
      <c r="E61" s="20" t="n"/>
      <c r="F61" s="20" t="n"/>
      <c r="G61" s="20" t="n"/>
      <c r="H61" s="20" t="n"/>
      <c r="I61" s="20" t="n"/>
      <c r="J61" s="20" t="n"/>
      <c r="K61" s="11">
        <f>IF(OR(F61="",J61=""),"",IF(F61=J61,1,0))</f>
        <v/>
      </c>
    </row>
    <row r="62" ht="15" customHeight="1" s="12">
      <c r="A62" s="20" t="n"/>
      <c r="B62" s="20" t="n"/>
      <c r="C62" s="20" t="n"/>
      <c r="D62" s="20" t="n"/>
      <c r="E62" s="20" t="n"/>
      <c r="F62" s="20" t="n"/>
      <c r="G62" s="20" t="n"/>
      <c r="H62" s="20" t="n"/>
      <c r="I62" s="20" t="n"/>
      <c r="J62" s="20" t="n"/>
      <c r="K62" s="11">
        <f>IF(OR(F62="",J62=""),"",IF(F62=J62,1,0))</f>
        <v/>
      </c>
    </row>
    <row r="63" ht="15" customHeight="1" s="12">
      <c r="A63" s="20" t="n"/>
      <c r="B63" s="20" t="n"/>
      <c r="C63" s="20" t="n"/>
      <c r="D63" s="20" t="n"/>
      <c r="E63" s="20" t="n"/>
      <c r="F63" s="20" t="n"/>
      <c r="G63" s="20" t="n"/>
      <c r="H63" s="20" t="n"/>
      <c r="I63" s="20" t="n"/>
      <c r="J63" s="20" t="n"/>
      <c r="K63" s="11">
        <f>IF(OR(F63="",J63=""),"",IF(F63=J63,1,0))</f>
        <v/>
      </c>
    </row>
    <row r="64" ht="15" customHeight="1" s="12">
      <c r="A64" s="20" t="n"/>
      <c r="B64" s="20" t="n"/>
      <c r="C64" s="20" t="n"/>
      <c r="D64" s="20" t="n"/>
      <c r="E64" s="20" t="n"/>
      <c r="F64" s="20" t="n"/>
      <c r="G64" s="20" t="n"/>
      <c r="H64" s="20" t="n"/>
      <c r="I64" s="20" t="n"/>
      <c r="J64" s="20" t="n"/>
      <c r="K64" s="11">
        <f>IF(OR(F64="",J64=""),"",IF(F64=J64,1,0))</f>
        <v/>
      </c>
    </row>
    <row r="65" ht="15" customHeight="1" s="12">
      <c r="A65" s="20" t="n"/>
      <c r="B65" s="20" t="n"/>
      <c r="C65" s="20" t="n"/>
      <c r="D65" s="20" t="n"/>
      <c r="E65" s="20" t="n"/>
      <c r="F65" s="20" t="n"/>
      <c r="G65" s="20" t="n"/>
      <c r="H65" s="20" t="n"/>
      <c r="I65" s="20" t="n"/>
      <c r="J65" s="20" t="n"/>
      <c r="K65" s="11">
        <f>IF(OR(F65="",J65=""),"",IF(F65=J65,1,0))</f>
        <v/>
      </c>
    </row>
    <row r="66" ht="15" customHeight="1" s="12">
      <c r="A66" s="20" t="n"/>
      <c r="B66" s="20" t="n"/>
      <c r="C66" s="20" t="n"/>
      <c r="D66" s="20" t="n"/>
      <c r="E66" s="20" t="n"/>
      <c r="F66" s="20" t="n"/>
      <c r="G66" s="20" t="n"/>
      <c r="H66" s="20" t="n"/>
      <c r="I66" s="20" t="n"/>
      <c r="J66" s="20" t="n"/>
      <c r="K66" s="11">
        <f>IF(OR(F66="",J66=""),"",IF(F66=J66,1,0))</f>
        <v/>
      </c>
    </row>
    <row r="67" ht="15" customHeight="1" s="12">
      <c r="A67" s="20" t="n"/>
      <c r="B67" s="20" t="n"/>
      <c r="C67" s="20" t="n"/>
      <c r="D67" s="20" t="n"/>
      <c r="E67" s="20" t="n"/>
      <c r="F67" s="20" t="n"/>
      <c r="G67" s="20" t="n"/>
      <c r="H67" s="20" t="n"/>
      <c r="I67" s="20" t="n"/>
      <c r="J67" s="20" t="n"/>
      <c r="K67" s="11">
        <f>IF(OR(F67="",J67=""),"",IF(F67=J67,1,0))</f>
        <v/>
      </c>
    </row>
    <row r="68" ht="15" customHeight="1" s="12">
      <c r="A68" s="20" t="n"/>
      <c r="B68" s="20" t="n"/>
      <c r="C68" s="20" t="n"/>
      <c r="D68" s="20" t="n"/>
      <c r="E68" s="20" t="n"/>
      <c r="F68" s="20" t="n"/>
      <c r="G68" s="20" t="n"/>
      <c r="H68" s="20" t="n"/>
      <c r="I68" s="20" t="n"/>
      <c r="J68" s="20" t="n"/>
      <c r="K68" s="11">
        <f>IF(OR(F68="",J68=""),"",IF(F68=J68,1,0))</f>
        <v/>
      </c>
    </row>
    <row r="69" ht="15" customHeight="1" s="12">
      <c r="A69" s="20" t="n"/>
      <c r="B69" s="20" t="n"/>
      <c r="C69" s="20" t="n"/>
      <c r="D69" s="20" t="n"/>
      <c r="E69" s="20" t="n"/>
      <c r="F69" s="20" t="n"/>
      <c r="G69" s="20" t="n"/>
      <c r="H69" s="20" t="n"/>
      <c r="I69" s="20" t="n"/>
      <c r="J69" s="20" t="n"/>
      <c r="K69" s="11">
        <f>IF(OR(F69="",J69=""),"",IF(F69=J69,1,0))</f>
        <v/>
      </c>
    </row>
    <row r="70" ht="15" customHeight="1" s="12">
      <c r="A70" s="20" t="n"/>
      <c r="B70" s="20" t="n"/>
      <c r="C70" s="20" t="n"/>
      <c r="D70" s="20" t="n"/>
      <c r="E70" s="20" t="n"/>
      <c r="F70" s="20" t="n"/>
      <c r="G70" s="20" t="n"/>
      <c r="H70" s="20" t="n"/>
      <c r="I70" s="20" t="n"/>
      <c r="J70" s="20" t="n"/>
      <c r="K70" s="11">
        <f>IF(OR(F70="",J70=""),"",IF(F70=J70,1,0))</f>
        <v/>
      </c>
    </row>
    <row r="71" ht="15" customHeight="1" s="12">
      <c r="A71" s="20" t="n"/>
      <c r="B71" s="20" t="n"/>
      <c r="C71" s="20" t="n"/>
      <c r="D71" s="20" t="n"/>
      <c r="E71" s="20" t="n"/>
      <c r="F71" s="20" t="n"/>
      <c r="G71" s="20" t="n"/>
      <c r="H71" s="20" t="n"/>
      <c r="I71" s="20" t="n"/>
      <c r="J71" s="20" t="n"/>
      <c r="K71" s="11">
        <f>IF(OR(F71="",J71=""),"",IF(F71=J71,1,0))</f>
        <v/>
      </c>
    </row>
    <row r="72" ht="15" customHeight="1" s="12">
      <c r="A72" s="20" t="n"/>
      <c r="B72" s="20" t="n"/>
      <c r="C72" s="20" t="n"/>
      <c r="D72" s="20" t="n"/>
      <c r="E72" s="20" t="n"/>
      <c r="F72" s="20" t="n"/>
      <c r="G72" s="20" t="n"/>
      <c r="H72" s="20" t="n"/>
      <c r="I72" s="20" t="n"/>
      <c r="J72" s="20" t="n"/>
      <c r="K72" s="11">
        <f>IF(OR(F72="",J72=""),"",IF(F72=J72,1,0))</f>
        <v/>
      </c>
    </row>
    <row r="73" ht="15" customHeight="1" s="12">
      <c r="A73" s="20" t="n"/>
      <c r="B73" s="20" t="n"/>
      <c r="C73" s="20" t="n"/>
      <c r="D73" s="20" t="n"/>
      <c r="E73" s="20" t="n"/>
      <c r="F73" s="20" t="n"/>
      <c r="G73" s="20" t="n"/>
      <c r="H73" s="20" t="n"/>
      <c r="I73" s="20" t="n"/>
      <c r="J73" s="20" t="n"/>
      <c r="K73" s="11">
        <f>IF(OR(F73="",J73=""),"",IF(F73=J73,1,0))</f>
        <v/>
      </c>
    </row>
    <row r="74" ht="15" customHeight="1" s="12">
      <c r="A74" s="20" t="n"/>
      <c r="B74" s="20" t="n"/>
      <c r="C74" s="20" t="n"/>
      <c r="D74" s="20" t="n"/>
      <c r="E74" s="20" t="n"/>
      <c r="F74" s="20" t="n"/>
      <c r="G74" s="20" t="n"/>
      <c r="H74" s="20" t="n"/>
      <c r="I74" s="20" t="n"/>
      <c r="J74" s="20" t="n"/>
      <c r="K74" s="11">
        <f>IF(OR(F74="",J74=""),"",IF(F74=J74,1,0))</f>
        <v/>
      </c>
    </row>
    <row r="75" ht="15" customHeight="1" s="12">
      <c r="A75" s="20" t="n"/>
      <c r="B75" s="20" t="n"/>
      <c r="C75" s="20" t="n"/>
      <c r="D75" s="20" t="n"/>
      <c r="E75" s="20" t="n"/>
      <c r="F75" s="20" t="n"/>
      <c r="G75" s="20" t="n"/>
      <c r="H75" s="20" t="n"/>
      <c r="I75" s="20" t="n"/>
      <c r="J75" s="20" t="n"/>
      <c r="K75" s="11">
        <f>IF(OR(F75="",J75=""),"",IF(F75=J75,1,0))</f>
        <v/>
      </c>
    </row>
    <row r="76" ht="15" customHeight="1" s="12">
      <c r="A76" s="20" t="n"/>
      <c r="B76" s="20" t="n"/>
      <c r="C76" s="20" t="n"/>
      <c r="D76" s="20" t="n"/>
      <c r="E76" s="20" t="n"/>
      <c r="F76" s="20" t="n"/>
      <c r="G76" s="20" t="n"/>
      <c r="H76" s="20" t="n"/>
      <c r="I76" s="20" t="n"/>
      <c r="J76" s="20" t="n"/>
      <c r="K76" s="11">
        <f>IF(OR(F76="",J76=""),"",IF(F76=J76,1,0))</f>
        <v/>
      </c>
    </row>
    <row r="77" ht="15" customHeight="1" s="12">
      <c r="A77" s="20" t="n"/>
      <c r="B77" s="20" t="n"/>
      <c r="C77" s="20" t="n"/>
      <c r="D77" s="20" t="n"/>
      <c r="E77" s="20" t="n"/>
      <c r="F77" s="20" t="n"/>
      <c r="G77" s="20" t="n"/>
      <c r="H77" s="20" t="n"/>
      <c r="I77" s="20" t="n"/>
      <c r="J77" s="20" t="n"/>
      <c r="K77" s="11">
        <f>IF(OR(F77="",J77=""),"",IF(F77=J77,1,0))</f>
        <v/>
      </c>
    </row>
    <row r="78" ht="15" customHeight="1" s="12">
      <c r="A78" s="20" t="n"/>
      <c r="B78" s="20" t="n"/>
      <c r="C78" s="20" t="n"/>
      <c r="D78" s="20" t="n"/>
      <c r="E78" s="20" t="n"/>
      <c r="F78" s="20" t="n"/>
      <c r="G78" s="20" t="n"/>
      <c r="H78" s="20" t="n"/>
      <c r="I78" s="20" t="n"/>
      <c r="J78" s="20" t="n"/>
      <c r="K78" s="11">
        <f>IF(OR(F78="",J78=""),"",IF(F78=J78,1,0))</f>
        <v/>
      </c>
    </row>
    <row r="79" ht="15" customHeight="1" s="12">
      <c r="A79" s="20" t="n"/>
      <c r="B79" s="20" t="n"/>
      <c r="C79" s="20" t="n"/>
      <c r="D79" s="20" t="n"/>
      <c r="E79" s="20" t="n"/>
      <c r="F79" s="20" t="n"/>
      <c r="G79" s="20" t="n"/>
      <c r="H79" s="20" t="n"/>
      <c r="I79" s="20" t="n"/>
      <c r="J79" s="20" t="n"/>
      <c r="K79" s="11">
        <f>IF(OR(F79="",J79=""),"",IF(F79=J79,1,0))</f>
        <v/>
      </c>
    </row>
    <row r="80" ht="15" customHeight="1" s="12">
      <c r="A80" s="20" t="n"/>
      <c r="B80" s="20" t="n"/>
      <c r="C80" s="20" t="n"/>
      <c r="D80" s="20" t="n"/>
      <c r="E80" s="20" t="n"/>
      <c r="F80" s="20" t="n"/>
      <c r="G80" s="20" t="n"/>
      <c r="H80" s="20" t="n"/>
      <c r="I80" s="20" t="n"/>
      <c r="J80" s="20" t="n"/>
      <c r="K80" s="11">
        <f>IF(OR(F80="",J80=""),"",IF(F80=J80,1,0))</f>
        <v/>
      </c>
    </row>
    <row r="81" ht="15" customHeight="1" s="12">
      <c r="A81" s="20" t="n"/>
      <c r="B81" s="20" t="n"/>
      <c r="C81" s="20" t="n"/>
      <c r="D81" s="20" t="n"/>
      <c r="E81" s="20" t="n"/>
      <c r="F81" s="20" t="n"/>
      <c r="G81" s="20" t="n"/>
      <c r="H81" s="20" t="n"/>
      <c r="I81" s="20" t="n"/>
      <c r="J81" s="20" t="n"/>
      <c r="K81" s="11">
        <f>IF(OR(F81="",J81=""),"",IF(F81=J81,1,0))</f>
        <v/>
      </c>
    </row>
    <row r="82" ht="15" customHeight="1" s="12">
      <c r="A82" s="20" t="n"/>
      <c r="B82" s="20" t="n"/>
      <c r="C82" s="20" t="n"/>
      <c r="D82" s="20" t="n"/>
      <c r="E82" s="20" t="n"/>
      <c r="F82" s="20" t="n"/>
      <c r="G82" s="20" t="n"/>
      <c r="H82" s="20" t="n"/>
      <c r="I82" s="20" t="n"/>
      <c r="J82" s="20" t="n"/>
      <c r="K82" s="11">
        <f>IF(OR(F82="",J82=""),"",IF(F82=J82,1,0))</f>
        <v/>
      </c>
    </row>
    <row r="83" ht="15" customHeight="1" s="12">
      <c r="A83" s="20" t="n"/>
      <c r="B83" s="20" t="n"/>
      <c r="C83" s="20" t="n"/>
      <c r="D83" s="20" t="n"/>
      <c r="E83" s="20" t="n"/>
      <c r="F83" s="20" t="n"/>
      <c r="G83" s="20" t="n"/>
      <c r="H83" s="20" t="n"/>
      <c r="I83" s="20" t="n"/>
      <c r="J83" s="20" t="n"/>
      <c r="K83" s="11">
        <f>IF(OR(F83="",J83=""),"",IF(F83=J83,1,0))</f>
        <v/>
      </c>
    </row>
    <row r="84" ht="15" customHeight="1" s="12">
      <c r="A84" s="20" t="n"/>
      <c r="B84" s="20" t="n"/>
      <c r="C84" s="20" t="n"/>
      <c r="D84" s="20" t="n"/>
      <c r="E84" s="20" t="n"/>
      <c r="F84" s="20" t="n"/>
      <c r="G84" s="20" t="n"/>
      <c r="H84" s="20" t="n"/>
      <c r="I84" s="20" t="n"/>
      <c r="J84" s="20" t="n"/>
      <c r="K84" s="11">
        <f>IF(OR(F84="",J84=""),"",IF(F84=J84,1,0))</f>
        <v/>
      </c>
    </row>
    <row r="85" ht="15" customHeight="1" s="12">
      <c r="A85" s="20" t="n"/>
      <c r="B85" s="20" t="n"/>
      <c r="C85" s="20" t="n"/>
      <c r="D85" s="20" t="n"/>
      <c r="E85" s="20" t="n"/>
      <c r="F85" s="20" t="n"/>
      <c r="G85" s="20" t="n"/>
      <c r="H85" s="20" t="n"/>
      <c r="I85" s="20" t="n"/>
      <c r="J85" s="20" t="n"/>
      <c r="K85" s="11">
        <f>IF(OR(F85="",J85=""),"",IF(F85=J85,1,0))</f>
        <v/>
      </c>
    </row>
    <row r="86" ht="15" customHeight="1" s="12">
      <c r="A86" s="20" t="n"/>
      <c r="B86" s="20" t="n"/>
      <c r="C86" s="20" t="n"/>
      <c r="D86" s="20" t="n"/>
      <c r="E86" s="20" t="n"/>
      <c r="F86" s="20" t="n"/>
      <c r="G86" s="20" t="n"/>
      <c r="H86" s="20" t="n"/>
      <c r="I86" s="20" t="n"/>
      <c r="J86" s="20" t="n"/>
      <c r="K86" s="11">
        <f>IF(OR(F86="",J86=""),"",IF(F86=J86,1,0))</f>
        <v/>
      </c>
    </row>
    <row r="87" ht="15" customHeight="1" s="12">
      <c r="A87" s="20" t="n"/>
      <c r="B87" s="20" t="n"/>
      <c r="C87" s="20" t="n"/>
      <c r="D87" s="20" t="n"/>
      <c r="E87" s="20" t="n"/>
      <c r="F87" s="20" t="n"/>
      <c r="G87" s="20" t="n"/>
      <c r="H87" s="20" t="n"/>
      <c r="I87" s="20" t="n"/>
      <c r="J87" s="20" t="n"/>
      <c r="K87" s="11">
        <f>IF(OR(F87="",J87=""),"",IF(F87=J87,1,0))</f>
        <v/>
      </c>
    </row>
    <row r="88" ht="15" customHeight="1" s="12">
      <c r="A88" s="20" t="n"/>
      <c r="B88" s="20" t="n"/>
      <c r="C88" s="20" t="n"/>
      <c r="D88" s="20" t="n"/>
      <c r="E88" s="20" t="n"/>
      <c r="F88" s="20" t="n"/>
      <c r="G88" s="20" t="n"/>
      <c r="H88" s="20" t="n"/>
      <c r="I88" s="20" t="n"/>
      <c r="J88" s="20" t="n"/>
      <c r="K88" s="11">
        <f>IF(OR(F88="",J88=""),"",IF(F88=J88,1,0))</f>
        <v/>
      </c>
    </row>
    <row r="89" ht="15" customHeight="1" s="12">
      <c r="A89" s="20" t="n"/>
      <c r="B89" s="20" t="n"/>
      <c r="C89" s="20" t="n"/>
      <c r="D89" s="20" t="n"/>
      <c r="E89" s="20" t="n"/>
      <c r="F89" s="20" t="n"/>
      <c r="G89" s="20" t="n"/>
      <c r="H89" s="20" t="n"/>
      <c r="I89" s="20" t="n"/>
      <c r="J89" s="20" t="n"/>
      <c r="K89" s="11">
        <f>IF(OR(F89="",J89=""),"",IF(F89=J89,1,0))</f>
        <v/>
      </c>
    </row>
    <row r="90" ht="15" customHeight="1" s="12">
      <c r="A90" s="20" t="n"/>
      <c r="B90" s="20" t="n"/>
      <c r="C90" s="20" t="n"/>
      <c r="D90" s="20" t="n"/>
      <c r="E90" s="20" t="n"/>
      <c r="F90" s="20" t="n"/>
      <c r="G90" s="20" t="n"/>
      <c r="H90" s="20" t="n"/>
      <c r="I90" s="20" t="n"/>
      <c r="J90" s="20" t="n"/>
      <c r="K90" s="11">
        <f>IF(OR(F90="",J90=""),"",IF(F90=J90,1,0))</f>
        <v/>
      </c>
    </row>
    <row r="91" ht="15" customHeight="1" s="12">
      <c r="A91" s="20" t="n"/>
      <c r="B91" s="20" t="n"/>
      <c r="C91" s="20" t="n"/>
      <c r="D91" s="20" t="n"/>
      <c r="E91" s="20" t="n"/>
      <c r="F91" s="20" t="n"/>
      <c r="G91" s="20" t="n"/>
      <c r="H91" s="20" t="n"/>
      <c r="I91" s="20" t="n"/>
      <c r="J91" s="20" t="n"/>
      <c r="K91" s="11">
        <f>IF(OR(F91="",J91=""),"",IF(F91=J91,1,0))</f>
        <v/>
      </c>
    </row>
    <row r="92" ht="15" customHeight="1" s="12">
      <c r="A92" s="20" t="n"/>
      <c r="B92" s="20" t="n"/>
      <c r="C92" s="20" t="n"/>
      <c r="D92" s="20" t="n"/>
      <c r="E92" s="20" t="n"/>
      <c r="F92" s="20" t="n"/>
      <c r="G92" s="20" t="n"/>
      <c r="H92" s="20" t="n"/>
      <c r="I92" s="20" t="n"/>
      <c r="J92" s="20" t="n"/>
      <c r="K92" s="11">
        <f>IF(OR(F92="",J92=""),"",IF(F92=J92,1,0))</f>
        <v/>
      </c>
    </row>
    <row r="93" ht="15" customHeight="1" s="12">
      <c r="A93" s="20" t="n"/>
      <c r="B93" s="20" t="n"/>
      <c r="C93" s="20" t="n"/>
      <c r="D93" s="20" t="n"/>
      <c r="E93" s="20" t="n"/>
      <c r="F93" s="20" t="n"/>
      <c r="G93" s="20" t="n"/>
      <c r="H93" s="20" t="n"/>
      <c r="I93" s="20" t="n"/>
      <c r="J93" s="20" t="n"/>
      <c r="K93" s="11">
        <f>IF(OR(F93="",J93=""),"",IF(F93=J93,1,0))</f>
        <v/>
      </c>
    </row>
    <row r="94" ht="15" customHeight="1" s="12">
      <c r="A94" s="20" t="n"/>
      <c r="B94" s="20" t="n"/>
      <c r="C94" s="20" t="n"/>
      <c r="D94" s="20" t="n"/>
      <c r="E94" s="20" t="n"/>
      <c r="F94" s="20" t="n"/>
      <c r="G94" s="20" t="n"/>
      <c r="H94" s="20" t="n"/>
      <c r="I94" s="20" t="n"/>
      <c r="J94" s="20" t="n"/>
      <c r="K94" s="11">
        <f>IF(OR(F94="",J94=""),"",IF(F94=J94,1,0))</f>
        <v/>
      </c>
    </row>
    <row r="95" ht="15" customHeight="1" s="12">
      <c r="A95" s="20" t="n"/>
      <c r="B95" s="20" t="n"/>
      <c r="C95" s="20" t="n"/>
      <c r="D95" s="20" t="n"/>
      <c r="E95" s="20" t="n"/>
      <c r="F95" s="20" t="n"/>
      <c r="G95" s="20" t="n"/>
      <c r="H95" s="20" t="n"/>
      <c r="I95" s="20" t="n"/>
      <c r="J95" s="20" t="n"/>
      <c r="K95" s="11">
        <f>IF(OR(F95="",J95=""),"",IF(F95=J95,1,0))</f>
        <v/>
      </c>
    </row>
    <row r="96" ht="15" customHeight="1" s="12">
      <c r="A96" s="20" t="n"/>
      <c r="B96" s="20" t="n"/>
      <c r="C96" s="20" t="n"/>
      <c r="D96" s="20" t="n"/>
      <c r="E96" s="20" t="n"/>
      <c r="F96" s="20" t="n"/>
      <c r="G96" s="20" t="n"/>
      <c r="H96" s="20" t="n"/>
      <c r="I96" s="20" t="n"/>
      <c r="J96" s="20" t="n"/>
      <c r="K96" s="11">
        <f>IF(OR(F96="",J96=""),"",IF(F96=J96,1,0))</f>
        <v/>
      </c>
    </row>
    <row r="97" ht="15" customHeight="1" s="12">
      <c r="A97" s="20" t="n"/>
      <c r="B97" s="20" t="n"/>
      <c r="C97" s="20" t="n"/>
      <c r="D97" s="20" t="n"/>
      <c r="E97" s="20" t="n"/>
      <c r="F97" s="20" t="n"/>
      <c r="G97" s="20" t="n"/>
      <c r="H97" s="20" t="n"/>
      <c r="I97" s="20" t="n"/>
      <c r="J97" s="20" t="n"/>
      <c r="K97" s="11">
        <f>IF(OR(F97="",J97=""),"",IF(F97=J97,1,0))</f>
        <v/>
      </c>
    </row>
    <row r="98" ht="15" customHeight="1" s="12">
      <c r="A98" s="20" t="n"/>
      <c r="B98" s="20" t="n"/>
      <c r="C98" s="20" t="n"/>
      <c r="D98" s="20" t="n"/>
      <c r="E98" s="20" t="n"/>
      <c r="F98" s="20" t="n"/>
      <c r="G98" s="20" t="n"/>
      <c r="H98" s="20" t="n"/>
      <c r="I98" s="20" t="n"/>
      <c r="J98" s="20" t="n"/>
      <c r="K98" s="11">
        <f>IF(OR(F98="",J98=""),"",IF(F98=J98,1,0))</f>
        <v/>
      </c>
    </row>
    <row r="99" ht="15" customHeight="1" s="12">
      <c r="A99" s="20" t="n"/>
      <c r="B99" s="20" t="n"/>
      <c r="C99" s="20" t="n"/>
      <c r="D99" s="20" t="n"/>
      <c r="E99" s="20" t="n"/>
      <c r="F99" s="20" t="n"/>
      <c r="G99" s="20" t="n"/>
      <c r="H99" s="20" t="n"/>
      <c r="I99" s="20" t="n"/>
      <c r="J99" s="20" t="n"/>
      <c r="K99" s="11">
        <f>IF(OR(F99="",J99=""),"",IF(F99=J99,1,0))</f>
        <v/>
      </c>
    </row>
    <row r="100" ht="15" customHeight="1" s="12">
      <c r="A100" s="20" t="n"/>
      <c r="B100" s="20" t="n"/>
      <c r="C100" s="20" t="n"/>
      <c r="D100" s="20" t="n"/>
      <c r="E100" s="20" t="n"/>
      <c r="F100" s="20" t="n"/>
      <c r="G100" s="20" t="n"/>
      <c r="H100" s="20" t="n"/>
      <c r="I100" s="20" t="n"/>
      <c r="J100" s="20" t="n"/>
      <c r="K100" s="11">
        <f>IF(OR(F100="",J100=""),"",IF(F100=J100,1,0))</f>
        <v/>
      </c>
    </row>
    <row r="101" ht="15" customHeight="1" s="12">
      <c r="A101" s="20" t="n"/>
      <c r="B101" s="20" t="n"/>
      <c r="C101" s="20" t="n"/>
      <c r="D101" s="20" t="n"/>
      <c r="E101" s="20" t="n"/>
      <c r="F101" s="20" t="n"/>
      <c r="G101" s="20" t="n"/>
      <c r="H101" s="20" t="n"/>
      <c r="I101" s="20" t="n"/>
      <c r="J101" s="20" t="n"/>
      <c r="K101" s="11">
        <f>IF(OR(F101="",J101=""),"",IF(F101=J101,1,0))</f>
        <v/>
      </c>
    </row>
    <row r="102" ht="15" customHeight="1" s="12">
      <c r="A102" s="20" t="n"/>
      <c r="B102" s="20" t="n"/>
      <c r="C102" s="20" t="n"/>
      <c r="D102" s="20" t="n"/>
      <c r="E102" s="20" t="n"/>
      <c r="F102" s="20" t="n"/>
      <c r="G102" s="20" t="n"/>
      <c r="H102" s="20" t="n"/>
      <c r="I102" s="20" t="n"/>
      <c r="J102" s="20" t="n"/>
      <c r="K102" s="11">
        <f>IF(OR(F102="",J102=""),"",IF(F102=J102,1,0))</f>
        <v/>
      </c>
    </row>
    <row r="103" ht="15" customHeight="1" s="12">
      <c r="A103" s="20" t="n"/>
      <c r="B103" s="20" t="n"/>
      <c r="C103" s="20" t="n"/>
      <c r="D103" s="20" t="n"/>
      <c r="E103" s="20" t="n"/>
      <c r="F103" s="20" t="n"/>
      <c r="G103" s="20" t="n"/>
      <c r="H103" s="20" t="n"/>
      <c r="I103" s="20" t="n"/>
      <c r="J103" s="20" t="n"/>
      <c r="K103" s="11">
        <f>IF(OR(F103="",J103=""),"",IF(F103=J103,1,0))</f>
        <v/>
      </c>
    </row>
    <row r="104" ht="15" customHeight="1" s="12">
      <c r="A104" s="20" t="n"/>
      <c r="B104" s="20" t="n"/>
      <c r="C104" s="20" t="n"/>
      <c r="D104" s="20" t="n"/>
      <c r="E104" s="20" t="n"/>
      <c r="F104" s="20" t="n"/>
      <c r="G104" s="20" t="n"/>
      <c r="H104" s="20" t="n"/>
      <c r="I104" s="20" t="n"/>
      <c r="J104" s="20" t="n"/>
      <c r="K104" s="11">
        <f>IF(OR(F104="",J104=""),"",IF(F104=J104,1,0))</f>
        <v/>
      </c>
    </row>
    <row r="105" ht="15" customHeight="1" s="12">
      <c r="A105" s="20" t="n"/>
      <c r="B105" s="20" t="n"/>
      <c r="C105" s="20" t="n"/>
      <c r="D105" s="20" t="n"/>
      <c r="E105" s="20" t="n"/>
      <c r="F105" s="20" t="n"/>
      <c r="G105" s="20" t="n"/>
      <c r="H105" s="20" t="n"/>
      <c r="I105" s="20" t="n"/>
      <c r="J105" s="20" t="n"/>
      <c r="K105" s="11">
        <f>IF(OR(F105="",J105=""),"",IF(F105=J105,1,0))</f>
        <v/>
      </c>
    </row>
    <row r="106" ht="15" customHeight="1" s="12">
      <c r="A106" s="20" t="n"/>
      <c r="B106" s="20" t="n"/>
      <c r="C106" s="20" t="n"/>
      <c r="D106" s="20" t="n"/>
      <c r="E106" s="20" t="n"/>
      <c r="F106" s="20" t="n"/>
      <c r="G106" s="20" t="n"/>
      <c r="H106" s="20" t="n"/>
      <c r="I106" s="20" t="n"/>
      <c r="J106" s="20" t="n"/>
      <c r="K106" s="11">
        <f>IF(OR(F106="",J106=""),"",IF(F106=J106,1,0))</f>
        <v/>
      </c>
    </row>
    <row r="107" ht="15" customHeight="1" s="12">
      <c r="A107" s="20" t="n"/>
      <c r="B107" s="20" t="n"/>
      <c r="C107" s="20" t="n"/>
      <c r="D107" s="20" t="n"/>
      <c r="E107" s="20" t="n"/>
      <c r="F107" s="20" t="n"/>
      <c r="G107" s="20" t="n"/>
      <c r="H107" s="20" t="n"/>
      <c r="I107" s="20" t="n"/>
      <c r="J107" s="20" t="n"/>
      <c r="K107" s="11">
        <f>IF(OR(F107="",J107=""),"",IF(F107=J107,1,0))</f>
        <v/>
      </c>
    </row>
    <row r="108" ht="15" customHeight="1" s="12">
      <c r="A108" s="20" t="n"/>
      <c r="B108" s="20" t="n"/>
      <c r="C108" s="20" t="n"/>
      <c r="D108" s="20" t="n"/>
      <c r="E108" s="20" t="n"/>
      <c r="F108" s="20" t="n"/>
      <c r="G108" s="20" t="n"/>
      <c r="H108" s="20" t="n"/>
      <c r="I108" s="20" t="n"/>
      <c r="J108" s="20" t="n"/>
      <c r="K108" s="11">
        <f>IF(OR(F108="",J108=""),"",IF(F108=J108,1,0))</f>
        <v/>
      </c>
    </row>
    <row r="109" ht="15" customHeight="1" s="12">
      <c r="A109" s="20" t="n"/>
      <c r="B109" s="20" t="n"/>
      <c r="C109" s="20" t="n"/>
      <c r="D109" s="20" t="n"/>
      <c r="E109" s="20" t="n"/>
      <c r="F109" s="20" t="n"/>
      <c r="G109" s="20" t="n"/>
      <c r="H109" s="20" t="n"/>
      <c r="I109" s="20" t="n"/>
      <c r="J109" s="20" t="n"/>
      <c r="K109" s="11">
        <f>IF(OR(F109="",J109=""),"",IF(F109=J109,1,0))</f>
        <v/>
      </c>
    </row>
    <row r="110" ht="15" customHeight="1" s="12">
      <c r="A110" s="20" t="n"/>
      <c r="B110" s="20" t="n"/>
      <c r="C110" s="20" t="n"/>
      <c r="D110" s="20" t="n"/>
      <c r="E110" s="20" t="n"/>
      <c r="F110" s="20" t="n"/>
      <c r="G110" s="20" t="n"/>
      <c r="H110" s="20" t="n"/>
      <c r="I110" s="20" t="n"/>
      <c r="J110" s="20" t="n"/>
      <c r="K110" s="11">
        <f>IF(OR(F110="",J110=""),"",IF(F110=J110,1,0))</f>
        <v/>
      </c>
    </row>
    <row r="111" ht="15" customHeight="1" s="12">
      <c r="A111" s="20" t="n"/>
      <c r="B111" s="20" t="n"/>
      <c r="C111" s="20" t="n"/>
      <c r="D111" s="20" t="n"/>
      <c r="E111" s="20" t="n"/>
      <c r="F111" s="20" t="n"/>
      <c r="G111" s="20" t="n"/>
      <c r="H111" s="20" t="n"/>
      <c r="I111" s="20" t="n"/>
      <c r="J111" s="20" t="n"/>
      <c r="K111" s="11">
        <f>IF(OR(F111="",J111=""),"",IF(F111=J111,1,0))</f>
        <v/>
      </c>
    </row>
    <row r="112" ht="15" customHeight="1" s="12">
      <c r="A112" s="20" t="n"/>
      <c r="B112" s="20" t="n"/>
      <c r="C112" s="20" t="n"/>
      <c r="D112" s="20" t="n"/>
      <c r="E112" s="20" t="n"/>
      <c r="F112" s="20" t="n"/>
      <c r="G112" s="20" t="n"/>
      <c r="H112" s="20" t="n"/>
      <c r="I112" s="20" t="n"/>
      <c r="J112" s="20" t="n"/>
      <c r="K112" s="11">
        <f>IF(OR(F112="",J112=""),"",IF(F112=J112,1,0))</f>
        <v/>
      </c>
    </row>
    <row r="113" ht="15" customHeight="1" s="12">
      <c r="A113" s="20" t="n"/>
      <c r="B113" s="20" t="n"/>
      <c r="C113" s="20" t="n"/>
      <c r="D113" s="20" t="n"/>
      <c r="E113" s="20" t="n"/>
      <c r="F113" s="20" t="n"/>
      <c r="G113" s="20" t="n"/>
      <c r="H113" s="20" t="n"/>
      <c r="I113" s="20" t="n"/>
      <c r="J113" s="20" t="n"/>
      <c r="K113" s="11">
        <f>IF(OR(F113="",J113=""),"",IF(F113=J113,1,0))</f>
        <v/>
      </c>
    </row>
    <row r="114" ht="15" customHeight="1" s="12">
      <c r="A114" s="20" t="n"/>
      <c r="B114" s="20" t="n"/>
      <c r="C114" s="20" t="n"/>
      <c r="D114" s="20" t="n"/>
      <c r="E114" s="20" t="n"/>
      <c r="F114" s="20" t="n"/>
      <c r="G114" s="20" t="n"/>
      <c r="H114" s="20" t="n"/>
      <c r="I114" s="20" t="n"/>
      <c r="J114" s="20" t="n"/>
      <c r="K114" s="11">
        <f>IF(OR(F114="",J114=""),"",IF(F114=J114,1,0))</f>
        <v/>
      </c>
    </row>
    <row r="115" ht="15" customHeight="1" s="12">
      <c r="A115" s="20" t="n"/>
      <c r="B115" s="20" t="n"/>
      <c r="C115" s="20" t="n"/>
      <c r="D115" s="20" t="n"/>
      <c r="E115" s="20" t="n"/>
      <c r="F115" s="20" t="n"/>
      <c r="G115" s="20" t="n"/>
      <c r="H115" s="20" t="n"/>
      <c r="I115" s="20" t="n"/>
      <c r="J115" s="20" t="n"/>
      <c r="K115" s="11">
        <f>IF(OR(F115="",J115=""),"",IF(F115=J115,1,0))</f>
        <v/>
      </c>
    </row>
    <row r="116" ht="15" customHeight="1" s="12">
      <c r="A116" s="20" t="n"/>
      <c r="B116" s="20" t="n"/>
      <c r="C116" s="20" t="n"/>
      <c r="D116" s="20" t="n"/>
      <c r="E116" s="20" t="n"/>
      <c r="F116" s="20" t="n"/>
      <c r="G116" s="20" t="n"/>
      <c r="H116" s="20" t="n"/>
      <c r="I116" s="20" t="n"/>
      <c r="J116" s="20" t="n"/>
      <c r="K116" s="11">
        <f>IF(OR(F116="",J116=""),"",IF(F116=J116,1,0))</f>
        <v/>
      </c>
    </row>
    <row r="117" ht="15" customHeight="1" s="12">
      <c r="A117" s="20" t="n"/>
      <c r="B117" s="20" t="n"/>
      <c r="C117" s="20" t="n"/>
      <c r="D117" s="20" t="n"/>
      <c r="E117" s="20" t="n"/>
      <c r="F117" s="20" t="n"/>
      <c r="G117" s="20" t="n"/>
      <c r="H117" s="20" t="n"/>
      <c r="I117" s="20" t="n"/>
      <c r="J117" s="20" t="n"/>
      <c r="K117" s="11">
        <f>IF(OR(F117="",J117=""),"",IF(F117=J117,1,0))</f>
        <v/>
      </c>
    </row>
    <row r="118" ht="15" customHeight="1" s="12">
      <c r="A118" s="20" t="n"/>
      <c r="B118" s="20" t="n"/>
      <c r="C118" s="20" t="n"/>
      <c r="D118" s="20" t="n"/>
      <c r="E118" s="20" t="n"/>
      <c r="F118" s="20" t="n"/>
      <c r="G118" s="20" t="n"/>
      <c r="H118" s="20" t="n"/>
      <c r="I118" s="20" t="n"/>
      <c r="J118" s="20" t="n"/>
      <c r="K118" s="11">
        <f>IF(OR(F118="",J118=""),"",IF(F118=J118,1,0))</f>
        <v/>
      </c>
    </row>
    <row r="119" ht="15" customHeight="1" s="12">
      <c r="A119" s="20" t="n"/>
      <c r="B119" s="20" t="n"/>
      <c r="C119" s="20" t="n"/>
      <c r="D119" s="20" t="n"/>
      <c r="E119" s="20" t="n"/>
      <c r="F119" s="20" t="n"/>
      <c r="G119" s="20" t="n"/>
      <c r="H119" s="20" t="n"/>
      <c r="I119" s="20" t="n"/>
      <c r="J119" s="20" t="n"/>
      <c r="K119" s="11">
        <f>IF(OR(F119="",J119=""),"",IF(F119=J119,1,0))</f>
        <v/>
      </c>
    </row>
    <row r="120" ht="15" customHeight="1" s="12">
      <c r="A120" s="20" t="n"/>
      <c r="B120" s="20" t="n"/>
      <c r="C120" s="20" t="n"/>
      <c r="D120" s="20" t="n"/>
      <c r="E120" s="20" t="n"/>
      <c r="F120" s="20" t="n"/>
      <c r="G120" s="20" t="n"/>
      <c r="H120" s="20" t="n"/>
      <c r="I120" s="20" t="n"/>
      <c r="J120" s="20" t="n"/>
      <c r="K120" s="11">
        <f>IF(OR(F120="",J120=""),"",IF(F120=J120,1,0))</f>
        <v/>
      </c>
    </row>
    <row r="121" ht="15" customHeight="1" s="12">
      <c r="A121" s="20" t="n"/>
      <c r="B121" s="20" t="n"/>
      <c r="C121" s="20" t="n"/>
      <c r="D121" s="20" t="n"/>
      <c r="E121" s="20" t="n"/>
      <c r="F121" s="20" t="n"/>
      <c r="G121" s="20" t="n"/>
      <c r="H121" s="20" t="n"/>
      <c r="I121" s="20" t="n"/>
      <c r="J121" s="20" t="n"/>
      <c r="K121" s="11">
        <f>IF(OR(F121="",J121=""),"",IF(F121=J121,1,0))</f>
        <v/>
      </c>
    </row>
    <row r="122" ht="15" customHeight="1" s="12">
      <c r="A122" s="20" t="n"/>
      <c r="B122" s="20" t="n"/>
      <c r="C122" s="20" t="n"/>
      <c r="D122" s="20" t="n"/>
      <c r="E122" s="20" t="n"/>
      <c r="F122" s="20" t="n"/>
      <c r="G122" s="20" t="n"/>
      <c r="H122" s="20" t="n"/>
      <c r="I122" s="20" t="n"/>
      <c r="J122" s="20" t="n"/>
      <c r="K122" s="11">
        <f>IF(OR(F122="",J122=""),"",IF(F122=J122,1,0))</f>
        <v/>
      </c>
    </row>
    <row r="123" ht="15" customHeight="1" s="12">
      <c r="A123" s="20" t="n"/>
      <c r="B123" s="20" t="n"/>
      <c r="C123" s="20" t="n"/>
      <c r="D123" s="20" t="n"/>
      <c r="E123" s="20" t="n"/>
      <c r="F123" s="20" t="n"/>
      <c r="G123" s="20" t="n"/>
      <c r="H123" s="20" t="n"/>
      <c r="I123" s="20" t="n"/>
      <c r="J123" s="20" t="n"/>
      <c r="K123" s="11">
        <f>IF(OR(F123="",J123=""),"",IF(F123=J123,1,0))</f>
        <v/>
      </c>
    </row>
    <row r="124" ht="15" customHeight="1" s="12">
      <c r="A124" s="20" t="n"/>
      <c r="B124" s="20" t="n"/>
      <c r="C124" s="20" t="n"/>
      <c r="D124" s="20" t="n"/>
      <c r="E124" s="20" t="n"/>
      <c r="F124" s="20" t="n"/>
      <c r="G124" s="20" t="n"/>
      <c r="H124" s="20" t="n"/>
      <c r="I124" s="20" t="n"/>
      <c r="J124" s="20" t="n"/>
      <c r="K124" s="11">
        <f>IF(OR(F124="",J124=""),"",IF(F124=J124,1,0))</f>
        <v/>
      </c>
    </row>
    <row r="125" ht="15" customHeight="1" s="12">
      <c r="A125" s="20" t="n"/>
      <c r="B125" s="20" t="n"/>
      <c r="C125" s="20" t="n"/>
      <c r="D125" s="20" t="n"/>
      <c r="E125" s="20" t="n"/>
      <c r="F125" s="20" t="n"/>
      <c r="G125" s="20" t="n"/>
      <c r="H125" s="20" t="n"/>
      <c r="I125" s="20" t="n"/>
      <c r="J125" s="20" t="n"/>
      <c r="K125" s="11">
        <f>IF(OR(F125="",J125=""),"",IF(F125=J125,1,0))</f>
        <v/>
      </c>
    </row>
    <row r="126" ht="15" customHeight="1" s="12">
      <c r="A126" s="20" t="n"/>
      <c r="B126" s="20" t="n"/>
      <c r="C126" s="20" t="n"/>
      <c r="D126" s="20" t="n"/>
      <c r="E126" s="20" t="n"/>
      <c r="F126" s="20" t="n"/>
      <c r="G126" s="20" t="n"/>
      <c r="H126" s="20" t="n"/>
      <c r="I126" s="20" t="n"/>
      <c r="J126" s="20" t="n"/>
      <c r="K126" s="11">
        <f>IF(OR(F126="",J126=""),"",IF(F126=J126,1,0))</f>
        <v/>
      </c>
    </row>
    <row r="127" ht="15" customHeight="1" s="12">
      <c r="A127" s="20" t="n"/>
      <c r="B127" s="20" t="n"/>
      <c r="C127" s="20" t="n"/>
      <c r="D127" s="20" t="n"/>
      <c r="E127" s="20" t="n"/>
      <c r="F127" s="20" t="n"/>
      <c r="G127" s="20" t="n"/>
      <c r="H127" s="20" t="n"/>
      <c r="I127" s="20" t="n"/>
      <c r="J127" s="20" t="n"/>
      <c r="K127" s="11">
        <f>IF(OR(F127="",J127=""),"",IF(F127=J127,1,0))</f>
        <v/>
      </c>
    </row>
    <row r="128" ht="15" customHeight="1" s="12">
      <c r="A128" s="20" t="n"/>
      <c r="B128" s="20" t="n"/>
      <c r="C128" s="20" t="n"/>
      <c r="D128" s="20" t="n"/>
      <c r="E128" s="20" t="n"/>
      <c r="F128" s="20" t="n"/>
      <c r="G128" s="20" t="n"/>
      <c r="H128" s="20" t="n"/>
      <c r="I128" s="20" t="n"/>
      <c r="J128" s="20" t="n"/>
      <c r="K128" s="11">
        <f>IF(OR(F128="",J128=""),"",IF(F128=J128,1,0))</f>
        <v/>
      </c>
    </row>
    <row r="129" ht="15" customHeight="1" s="12">
      <c r="A129" s="20" t="n"/>
      <c r="B129" s="20" t="n"/>
      <c r="C129" s="20" t="n"/>
      <c r="D129" s="20" t="n"/>
      <c r="E129" s="20" t="n"/>
      <c r="F129" s="20" t="n"/>
      <c r="G129" s="20" t="n"/>
      <c r="H129" s="20" t="n"/>
      <c r="I129" s="20" t="n"/>
      <c r="J129" s="20" t="n"/>
      <c r="K129" s="11">
        <f>IF(OR(F129="",J129=""),"",IF(F129=J129,1,0))</f>
        <v/>
      </c>
    </row>
    <row r="130" ht="15" customHeight="1" s="12">
      <c r="A130" s="20" t="n"/>
      <c r="B130" s="20" t="n"/>
      <c r="C130" s="20" t="n"/>
      <c r="D130" s="20" t="n"/>
      <c r="E130" s="20" t="n"/>
      <c r="F130" s="20" t="n"/>
      <c r="G130" s="20" t="n"/>
      <c r="H130" s="20" t="n"/>
      <c r="I130" s="20" t="n"/>
      <c r="J130" s="20" t="n"/>
      <c r="K130" s="11">
        <f>IF(OR(F130="",J130=""),"",IF(F130=J130,1,0))</f>
        <v/>
      </c>
    </row>
    <row r="131" ht="15" customHeight="1" s="12">
      <c r="A131" s="20" t="n"/>
      <c r="B131" s="20" t="n"/>
      <c r="C131" s="20" t="n"/>
      <c r="D131" s="20" t="n"/>
      <c r="E131" s="20" t="n"/>
      <c r="F131" s="20" t="n"/>
      <c r="G131" s="20" t="n"/>
      <c r="H131" s="20" t="n"/>
      <c r="I131" s="20" t="n"/>
      <c r="J131" s="20" t="n"/>
      <c r="K131" s="11">
        <f>IF(OR(F131="",J131=""),"",IF(F131=J131,1,0))</f>
        <v/>
      </c>
    </row>
    <row r="132" ht="15" customHeight="1" s="12">
      <c r="A132" s="20" t="n"/>
      <c r="B132" s="20" t="n"/>
      <c r="C132" s="20" t="n"/>
      <c r="D132" s="20" t="n"/>
      <c r="E132" s="20" t="n"/>
      <c r="F132" s="20" t="n"/>
      <c r="G132" s="20" t="n"/>
      <c r="H132" s="20" t="n"/>
      <c r="I132" s="20" t="n"/>
      <c r="J132" s="20" t="n"/>
      <c r="K132" s="11">
        <f>IF(OR(F132="",J132=""),"",IF(F132=J132,1,0))</f>
        <v/>
      </c>
    </row>
    <row r="133" ht="15" customHeight="1" s="12">
      <c r="A133" s="20" t="n"/>
      <c r="B133" s="20" t="n"/>
      <c r="C133" s="20" t="n"/>
      <c r="D133" s="20" t="n"/>
      <c r="E133" s="20" t="n"/>
      <c r="F133" s="20" t="n"/>
      <c r="G133" s="20" t="n"/>
      <c r="H133" s="20" t="n"/>
      <c r="I133" s="20" t="n"/>
      <c r="J133" s="20" t="n"/>
      <c r="K133" s="11">
        <f>IF(OR(F133="",J133=""),"",IF(F133=J133,1,0))</f>
        <v/>
      </c>
    </row>
    <row r="134" ht="15" customHeight="1" s="12">
      <c r="A134" s="20" t="n"/>
      <c r="B134" s="20" t="n"/>
      <c r="C134" s="20" t="n"/>
      <c r="D134" s="20" t="n"/>
      <c r="E134" s="20" t="n"/>
      <c r="F134" s="20" t="n"/>
      <c r="G134" s="20" t="n"/>
      <c r="H134" s="20" t="n"/>
      <c r="I134" s="20" t="n"/>
      <c r="J134" s="20" t="n"/>
      <c r="K134" s="11">
        <f>IF(OR(F134="",J134=""),"",IF(F134=J134,1,0))</f>
        <v/>
      </c>
    </row>
    <row r="135" ht="15" customHeight="1" s="12">
      <c r="A135" s="20" t="n"/>
      <c r="B135" s="20" t="n"/>
      <c r="C135" s="20" t="n"/>
      <c r="D135" s="20" t="n"/>
      <c r="E135" s="20" t="n"/>
      <c r="F135" s="20" t="n"/>
      <c r="G135" s="20" t="n"/>
      <c r="H135" s="20" t="n"/>
      <c r="I135" s="20" t="n"/>
      <c r="J135" s="20" t="n"/>
      <c r="K135" s="11">
        <f>IF(OR(F135="",J135=""),"",IF(F135=J135,1,0))</f>
        <v/>
      </c>
    </row>
    <row r="136" ht="15" customHeight="1" s="12">
      <c r="A136" s="20" t="n"/>
      <c r="B136" s="20" t="n"/>
      <c r="C136" s="20" t="n"/>
      <c r="D136" s="20" t="n"/>
      <c r="E136" s="20" t="n"/>
      <c r="F136" s="20" t="n"/>
      <c r="G136" s="20" t="n"/>
      <c r="H136" s="20" t="n"/>
      <c r="I136" s="20" t="n"/>
      <c r="J136" s="20" t="n"/>
      <c r="K136" s="11">
        <f>IF(OR(F136="",J136=""),"",IF(F136=J136,1,0))</f>
        <v/>
      </c>
    </row>
    <row r="137" ht="15" customHeight="1" s="12">
      <c r="A137" s="20" t="n"/>
      <c r="B137" s="20" t="n"/>
      <c r="C137" s="20" t="n"/>
      <c r="D137" s="20" t="n"/>
      <c r="E137" s="20" t="n"/>
      <c r="F137" s="20" t="n"/>
      <c r="G137" s="20" t="n"/>
      <c r="H137" s="20" t="n"/>
      <c r="I137" s="20" t="n"/>
      <c r="J137" s="20" t="n"/>
      <c r="K137" s="11">
        <f>IF(OR(F137="",J137=""),"",IF(F137=J137,1,0))</f>
        <v/>
      </c>
    </row>
    <row r="138" ht="15" customHeight="1" s="12">
      <c r="A138" s="20" t="n"/>
      <c r="B138" s="20" t="n"/>
      <c r="C138" s="20" t="n"/>
      <c r="D138" s="20" t="n"/>
      <c r="E138" s="20" t="n"/>
      <c r="F138" s="20" t="n"/>
      <c r="G138" s="20" t="n"/>
      <c r="H138" s="20" t="n"/>
      <c r="I138" s="20" t="n"/>
      <c r="J138" s="20" t="n"/>
      <c r="K138" s="11">
        <f>IF(OR(F138="",J138=""),"",IF(F138=J138,1,0))</f>
        <v/>
      </c>
    </row>
    <row r="139" ht="15" customHeight="1" s="12">
      <c r="A139" s="20" t="n"/>
      <c r="B139" s="20" t="n"/>
      <c r="C139" s="20" t="n"/>
      <c r="D139" s="20" t="n"/>
      <c r="E139" s="20" t="n"/>
      <c r="F139" s="20" t="n"/>
      <c r="G139" s="20" t="n"/>
      <c r="H139" s="20" t="n"/>
      <c r="I139" s="20" t="n"/>
      <c r="J139" s="20" t="n"/>
      <c r="K139" s="11">
        <f>IF(OR(F139="",J139=""),"",IF(F139=J139,1,0))</f>
        <v/>
      </c>
    </row>
    <row r="140" ht="15" customHeight="1" s="12">
      <c r="A140" s="20" t="n"/>
      <c r="B140" s="20" t="n"/>
      <c r="C140" s="20" t="n"/>
      <c r="D140" s="20" t="n"/>
      <c r="E140" s="20" t="n"/>
      <c r="F140" s="20" t="n"/>
      <c r="G140" s="20" t="n"/>
      <c r="H140" s="20" t="n"/>
      <c r="I140" s="20" t="n"/>
      <c r="J140" s="20" t="n"/>
      <c r="K140" s="11">
        <f>IF(OR(F140="",J140=""),"",IF(F140=J140,1,0))</f>
        <v/>
      </c>
    </row>
    <row r="141" ht="15" customHeight="1" s="12">
      <c r="A141" s="20" t="n"/>
      <c r="B141" s="20" t="n"/>
      <c r="C141" s="20" t="n"/>
      <c r="D141" s="20" t="n"/>
      <c r="E141" s="20" t="n"/>
      <c r="F141" s="20" t="n"/>
      <c r="G141" s="20" t="n"/>
      <c r="H141" s="20" t="n"/>
      <c r="I141" s="20" t="n"/>
      <c r="J141" s="20" t="n"/>
      <c r="K141" s="11">
        <f>IF(OR(F141="",J141=""),"",IF(F141=J141,1,0))</f>
        <v/>
      </c>
    </row>
    <row r="142" ht="15" customHeight="1" s="12">
      <c r="A142" s="20" t="n"/>
      <c r="B142" s="20" t="n"/>
      <c r="C142" s="20" t="n"/>
      <c r="D142" s="20" t="n"/>
      <c r="E142" s="20" t="n"/>
      <c r="F142" s="20" t="n"/>
      <c r="G142" s="20" t="n"/>
      <c r="H142" s="20" t="n"/>
      <c r="I142" s="20" t="n"/>
      <c r="J142" s="20" t="n"/>
      <c r="K142" s="11">
        <f>IF(OR(F142="",J142=""),"",IF(F142=J142,1,0))</f>
        <v/>
      </c>
    </row>
    <row r="143" ht="15" customHeight="1" s="12">
      <c r="A143" s="20" t="n"/>
      <c r="B143" s="20" t="n"/>
      <c r="C143" s="20" t="n"/>
      <c r="D143" s="20" t="n"/>
      <c r="E143" s="20" t="n"/>
      <c r="F143" s="20" t="n"/>
      <c r="G143" s="20" t="n"/>
      <c r="H143" s="20" t="n"/>
      <c r="I143" s="20" t="n"/>
      <c r="J143" s="20" t="n"/>
      <c r="K143" s="11">
        <f>IF(OR(F143="",J143=""),"",IF(F143=J143,1,0))</f>
        <v/>
      </c>
    </row>
    <row r="144" ht="15" customHeight="1" s="12">
      <c r="A144" s="20" t="n"/>
      <c r="B144" s="20" t="n"/>
      <c r="C144" s="20" t="n"/>
      <c r="D144" s="20" t="n"/>
      <c r="E144" s="20" t="n"/>
      <c r="F144" s="20" t="n"/>
      <c r="G144" s="20" t="n"/>
      <c r="H144" s="20" t="n"/>
      <c r="I144" s="20" t="n"/>
      <c r="J144" s="20" t="n"/>
      <c r="K144" s="11">
        <f>IF(OR(F144="",J144=""),"",IF(F144=J144,1,0))</f>
        <v/>
      </c>
    </row>
    <row r="145" ht="15" customHeight="1" s="12">
      <c r="A145" s="20" t="n"/>
      <c r="B145" s="20" t="n"/>
      <c r="C145" s="20" t="n"/>
      <c r="D145" s="20" t="n"/>
      <c r="E145" s="20" t="n"/>
      <c r="F145" s="20" t="n"/>
      <c r="G145" s="20" t="n"/>
      <c r="H145" s="20" t="n"/>
      <c r="I145" s="20" t="n"/>
      <c r="J145" s="20" t="n"/>
      <c r="K145" s="11">
        <f>IF(OR(F145="",J145=""),"",IF(F145=J145,1,0))</f>
        <v/>
      </c>
    </row>
    <row r="146" ht="15" customHeight="1" s="12">
      <c r="A146" s="20" t="n"/>
      <c r="B146" s="20" t="n"/>
      <c r="C146" s="20" t="n"/>
      <c r="D146" s="20" t="n"/>
      <c r="E146" s="20" t="n"/>
      <c r="F146" s="20" t="n"/>
      <c r="G146" s="20" t="n"/>
      <c r="H146" s="20" t="n"/>
      <c r="I146" s="20" t="n"/>
      <c r="J146" s="20" t="n"/>
      <c r="K146" s="11">
        <f>IF(OR(F146="",J146=""),"",IF(F146=J146,1,0))</f>
        <v/>
      </c>
    </row>
    <row r="147" ht="15" customHeight="1" s="12">
      <c r="A147" s="20" t="n"/>
      <c r="B147" s="20" t="n"/>
      <c r="C147" s="20" t="n"/>
      <c r="D147" s="20" t="n"/>
      <c r="E147" s="20" t="n"/>
      <c r="F147" s="20" t="n"/>
      <c r="G147" s="20" t="n"/>
      <c r="H147" s="20" t="n"/>
      <c r="I147" s="20" t="n"/>
      <c r="J147" s="20" t="n"/>
      <c r="K147" s="11">
        <f>IF(OR(F147="",J147=""),"",IF(F147=J147,1,0))</f>
        <v/>
      </c>
    </row>
    <row r="148" ht="15" customHeight="1" s="12">
      <c r="A148" s="20" t="n"/>
      <c r="B148" s="20" t="n"/>
      <c r="C148" s="20" t="n"/>
      <c r="D148" s="20" t="n"/>
      <c r="E148" s="20" t="n"/>
      <c r="F148" s="20" t="n"/>
      <c r="G148" s="20" t="n"/>
      <c r="H148" s="20" t="n"/>
      <c r="I148" s="20" t="n"/>
      <c r="J148" s="20" t="n"/>
      <c r="K148" s="11">
        <f>IF(OR(F148="",J148=""),"",IF(F148=J148,1,0))</f>
        <v/>
      </c>
    </row>
    <row r="149" ht="15" customHeight="1" s="12">
      <c r="A149" s="20" t="n"/>
      <c r="B149" s="20" t="n"/>
      <c r="C149" s="20" t="n"/>
      <c r="D149" s="20" t="n"/>
      <c r="E149" s="20" t="n"/>
      <c r="F149" s="20" t="n"/>
      <c r="G149" s="20" t="n"/>
      <c r="H149" s="20" t="n"/>
      <c r="I149" s="20" t="n"/>
      <c r="J149" s="20" t="n"/>
      <c r="K149" s="11">
        <f>IF(OR(F149="",J149=""),"",IF(F149=J149,1,0))</f>
        <v/>
      </c>
    </row>
    <row r="150" ht="15" customHeight="1" s="12">
      <c r="A150" s="20" t="n"/>
      <c r="B150" s="20" t="n"/>
      <c r="C150" s="20" t="n"/>
      <c r="D150" s="20" t="n"/>
      <c r="E150" s="20" t="n"/>
      <c r="F150" s="20" t="n"/>
      <c r="G150" s="20" t="n"/>
      <c r="H150" s="20" t="n"/>
      <c r="I150" s="20" t="n"/>
      <c r="J150" s="20" t="n"/>
      <c r="K150" s="11">
        <f>IF(OR(F150="",J150=""),"",IF(F150=J150,1,0))</f>
        <v/>
      </c>
    </row>
    <row r="151" ht="15" customHeight="1" s="12">
      <c r="A151" s="20" t="n"/>
      <c r="B151" s="20" t="n"/>
      <c r="C151" s="20" t="n"/>
      <c r="D151" s="20" t="n"/>
      <c r="E151" s="20" t="n"/>
      <c r="F151" s="20" t="n"/>
      <c r="G151" s="20" t="n"/>
      <c r="H151" s="20" t="n"/>
      <c r="I151" s="20" t="n"/>
      <c r="J151" s="20" t="n"/>
      <c r="K151" s="11">
        <f>IF(OR(F151="",J151=""),"",IF(F151=J151,1,0))</f>
        <v/>
      </c>
    </row>
    <row r="152" ht="15" customHeight="1" s="12">
      <c r="A152" s="20" t="n"/>
      <c r="B152" s="20" t="n"/>
      <c r="C152" s="20" t="n"/>
      <c r="D152" s="20" t="n"/>
      <c r="E152" s="20" t="n"/>
      <c r="F152" s="20" t="n"/>
      <c r="G152" s="20" t="n"/>
      <c r="H152" s="20" t="n"/>
      <c r="I152" s="20" t="n"/>
      <c r="J152" s="20" t="n"/>
      <c r="K152" s="11">
        <f>IF(OR(F152="",J152=""),"",IF(F152=J152,1,0))</f>
        <v/>
      </c>
    </row>
    <row r="153" ht="15" customHeight="1" s="12">
      <c r="A153" s="20" t="n"/>
      <c r="B153" s="20" t="n"/>
      <c r="C153" s="20" t="n"/>
      <c r="D153" s="20" t="n"/>
      <c r="E153" s="20" t="n"/>
      <c r="F153" s="20" t="n"/>
      <c r="G153" s="20" t="n"/>
      <c r="H153" s="20" t="n"/>
      <c r="I153" s="20" t="n"/>
      <c r="J153" s="20" t="n"/>
      <c r="K153" s="11">
        <f>IF(OR(F153="",J153=""),"",IF(F153=J153,1,0))</f>
        <v/>
      </c>
    </row>
    <row r="154" ht="15" customHeight="1" s="12">
      <c r="A154" s="20" t="n"/>
      <c r="B154" s="20" t="n"/>
      <c r="C154" s="20" t="n"/>
      <c r="D154" s="20" t="n"/>
      <c r="E154" s="20" t="n"/>
      <c r="F154" s="20" t="n"/>
      <c r="G154" s="20" t="n"/>
      <c r="H154" s="20" t="n"/>
      <c r="I154" s="20" t="n"/>
      <c r="J154" s="20" t="n"/>
      <c r="K154" s="11">
        <f>IF(OR(F154="",J154=""),"",IF(F154=J154,1,0))</f>
        <v/>
      </c>
    </row>
    <row r="155" ht="15" customHeight="1" s="12">
      <c r="A155" s="20" t="n"/>
      <c r="B155" s="20" t="n"/>
      <c r="C155" s="20" t="n"/>
      <c r="D155" s="20" t="n"/>
      <c r="E155" s="20" t="n"/>
      <c r="F155" s="20" t="n"/>
      <c r="G155" s="20" t="n"/>
      <c r="H155" s="20" t="n"/>
      <c r="I155" s="20" t="n"/>
      <c r="J155" s="20" t="n"/>
      <c r="K155" s="11">
        <f>IF(OR(F155="",J155=""),"",IF(F155=J155,1,0))</f>
        <v/>
      </c>
    </row>
    <row r="156" ht="15" customHeight="1" s="12">
      <c r="A156" s="20" t="n"/>
      <c r="B156" s="20" t="n"/>
      <c r="C156" s="20" t="n"/>
      <c r="D156" s="20" t="n"/>
      <c r="E156" s="20" t="n"/>
      <c r="F156" s="20" t="n"/>
      <c r="G156" s="20" t="n"/>
      <c r="H156" s="20" t="n"/>
      <c r="I156" s="20" t="n"/>
      <c r="J156" s="20" t="n"/>
      <c r="K156" s="11">
        <f>IF(OR(F156="",J156=""),"",IF(F156=J156,1,0))</f>
        <v/>
      </c>
    </row>
    <row r="157" ht="15" customHeight="1" s="12">
      <c r="A157" s="20" t="n"/>
      <c r="B157" s="20" t="n"/>
      <c r="C157" s="20" t="n"/>
      <c r="D157" s="20" t="n"/>
      <c r="E157" s="20" t="n"/>
      <c r="F157" s="20" t="n"/>
      <c r="G157" s="20" t="n"/>
      <c r="H157" s="20" t="n"/>
      <c r="I157" s="20" t="n"/>
      <c r="J157" s="20" t="n"/>
      <c r="K157" s="11">
        <f>IF(OR(F157="",J157=""),"",IF(F157=J157,1,0))</f>
        <v/>
      </c>
    </row>
    <row r="158" ht="15" customHeight="1" s="12">
      <c r="A158" s="20" t="n"/>
      <c r="B158" s="20" t="n"/>
      <c r="C158" s="20" t="n"/>
      <c r="D158" s="20" t="n"/>
      <c r="E158" s="20" t="n"/>
      <c r="F158" s="20" t="n"/>
      <c r="G158" s="20" t="n"/>
      <c r="H158" s="20" t="n"/>
      <c r="I158" s="20" t="n"/>
      <c r="J158" s="20" t="n"/>
      <c r="K158" s="11">
        <f>IF(OR(F158="",J158=""),"",IF(F158=J158,1,0))</f>
        <v/>
      </c>
    </row>
    <row r="159" ht="15" customHeight="1" s="12">
      <c r="A159" s="20" t="n"/>
      <c r="B159" s="20" t="n"/>
      <c r="C159" s="20" t="n"/>
      <c r="D159" s="20" t="n"/>
      <c r="E159" s="20" t="n"/>
      <c r="F159" s="20" t="n"/>
      <c r="G159" s="20" t="n"/>
      <c r="H159" s="20" t="n"/>
      <c r="I159" s="20" t="n"/>
      <c r="J159" s="20" t="n"/>
      <c r="K159" s="11">
        <f>IF(OR(F159="",J159=""),"",IF(F159=J159,1,0))</f>
        <v/>
      </c>
    </row>
    <row r="160" ht="15" customHeight="1" s="12">
      <c r="A160" s="20" t="n"/>
      <c r="B160" s="20" t="n"/>
      <c r="C160" s="20" t="n"/>
      <c r="D160" s="20" t="n"/>
      <c r="E160" s="20" t="n"/>
      <c r="F160" s="20" t="n"/>
      <c r="G160" s="20" t="n"/>
      <c r="H160" s="20" t="n"/>
      <c r="I160" s="20" t="n"/>
      <c r="J160" s="20" t="n"/>
      <c r="K160" s="11">
        <f>IF(OR(F160="",J160=""),"",IF(F160=J160,1,0))</f>
        <v/>
      </c>
    </row>
    <row r="161" ht="15" customHeight="1" s="12">
      <c r="A161" s="20" t="n"/>
      <c r="B161" s="20" t="n"/>
      <c r="C161" s="20" t="n"/>
      <c r="D161" s="20" t="n"/>
      <c r="E161" s="20" t="n"/>
      <c r="F161" s="20" t="n"/>
      <c r="G161" s="20" t="n"/>
      <c r="H161" s="20" t="n"/>
      <c r="I161" s="20" t="n"/>
      <c r="J161" s="20" t="n"/>
      <c r="K161" s="11">
        <f>IF(OR(F161="",J161=""),"",IF(F161=J161,1,0))</f>
        <v/>
      </c>
    </row>
    <row r="162" ht="15" customHeight="1" s="12">
      <c r="A162" s="20" t="n"/>
      <c r="B162" s="20" t="n"/>
      <c r="C162" s="20" t="n"/>
      <c r="D162" s="20" t="n"/>
      <c r="E162" s="20" t="n"/>
      <c r="F162" s="20" t="n"/>
      <c r="G162" s="20" t="n"/>
      <c r="H162" s="20" t="n"/>
      <c r="I162" s="20" t="n"/>
      <c r="J162" s="20" t="n"/>
      <c r="K162" s="11">
        <f>IF(OR(F162="",J162=""),"",IF(F162=J162,1,0))</f>
        <v/>
      </c>
    </row>
    <row r="163" ht="15" customHeight="1" s="12">
      <c r="A163" s="20" t="n"/>
      <c r="B163" s="20" t="n"/>
      <c r="C163" s="20" t="n"/>
      <c r="D163" s="20" t="n"/>
      <c r="E163" s="20" t="n"/>
      <c r="F163" s="20" t="n"/>
      <c r="G163" s="20" t="n"/>
      <c r="H163" s="20" t="n"/>
      <c r="I163" s="20" t="n"/>
      <c r="J163" s="20" t="n"/>
      <c r="K163" s="11">
        <f>IF(OR(F163="",J163=""),"",IF(F163=J163,1,0))</f>
        <v/>
      </c>
    </row>
    <row r="164" ht="15" customHeight="1" s="12">
      <c r="A164" s="20" t="n"/>
      <c r="B164" s="20" t="n"/>
      <c r="C164" s="20" t="n"/>
      <c r="D164" s="20" t="n"/>
      <c r="E164" s="20" t="n"/>
      <c r="F164" s="20" t="n"/>
      <c r="G164" s="20" t="n"/>
      <c r="H164" s="20" t="n"/>
      <c r="I164" s="20" t="n"/>
      <c r="J164" s="20" t="n"/>
      <c r="K164" s="11">
        <f>IF(OR(F164="",J164=""),"",IF(F164=J164,1,0))</f>
        <v/>
      </c>
    </row>
    <row r="165" ht="15" customHeight="1" s="12">
      <c r="A165" s="20" t="n"/>
      <c r="B165" s="20" t="n"/>
      <c r="C165" s="20" t="n"/>
      <c r="D165" s="20" t="n"/>
      <c r="E165" s="20" t="n"/>
      <c r="F165" s="20" t="n"/>
      <c r="G165" s="20" t="n"/>
      <c r="H165" s="20" t="n"/>
      <c r="I165" s="20" t="n"/>
      <c r="J165" s="20" t="n"/>
      <c r="K165" s="11">
        <f>IF(OR(F165="",J165=""),"",IF(F165=J165,1,0))</f>
        <v/>
      </c>
    </row>
    <row r="166" ht="15" customHeight="1" s="12">
      <c r="A166" s="20" t="n"/>
      <c r="B166" s="20" t="n"/>
      <c r="C166" s="20" t="n"/>
      <c r="D166" s="20" t="n"/>
      <c r="E166" s="20" t="n"/>
      <c r="F166" s="20" t="n"/>
      <c r="G166" s="20" t="n"/>
      <c r="H166" s="20" t="n"/>
      <c r="I166" s="20" t="n"/>
      <c r="J166" s="20" t="n"/>
      <c r="K166" s="11">
        <f>IF(OR(F166="",J166=""),"",IF(F166=J166,1,0))</f>
        <v/>
      </c>
    </row>
    <row r="167" ht="15" customHeight="1" s="12">
      <c r="A167" s="20" t="n"/>
      <c r="B167" s="20" t="n"/>
      <c r="C167" s="20" t="n"/>
      <c r="D167" s="20" t="n"/>
      <c r="E167" s="20" t="n"/>
      <c r="F167" s="20" t="n"/>
      <c r="G167" s="20" t="n"/>
      <c r="H167" s="20" t="n"/>
      <c r="I167" s="20" t="n"/>
      <c r="J167" s="20" t="n"/>
      <c r="K167" s="11">
        <f>IF(OR(F167="",J167=""),"",IF(F167=J167,1,0))</f>
        <v/>
      </c>
    </row>
    <row r="168" ht="15" customHeight="1" s="12">
      <c r="A168" s="20" t="n"/>
      <c r="B168" s="20" t="n"/>
      <c r="C168" s="20" t="n"/>
      <c r="D168" s="20" t="n"/>
      <c r="E168" s="20" t="n"/>
      <c r="F168" s="20" t="n"/>
      <c r="G168" s="20" t="n"/>
      <c r="H168" s="20" t="n"/>
      <c r="I168" s="20" t="n"/>
      <c r="J168" s="20" t="n"/>
      <c r="K168" s="11">
        <f>IF(OR(F168="",J168=""),"",IF(F168=J168,1,0))</f>
        <v/>
      </c>
    </row>
    <row r="169" ht="15" customHeight="1" s="12">
      <c r="A169" s="20" t="n"/>
      <c r="B169" s="20" t="n"/>
      <c r="C169" s="20" t="n"/>
      <c r="D169" s="20" t="n"/>
      <c r="E169" s="20" t="n"/>
      <c r="F169" s="20" t="n"/>
      <c r="G169" s="20" t="n"/>
      <c r="H169" s="20" t="n"/>
      <c r="I169" s="20" t="n"/>
      <c r="J169" s="20" t="n"/>
      <c r="K169" s="11">
        <f>IF(OR(F169="",J169=""),"",IF(F169=J169,1,0))</f>
        <v/>
      </c>
    </row>
    <row r="170" ht="15" customHeight="1" s="12">
      <c r="A170" s="20" t="n"/>
      <c r="B170" s="20" t="n"/>
      <c r="C170" s="20" t="n"/>
      <c r="D170" s="20" t="n"/>
      <c r="E170" s="20" t="n"/>
      <c r="F170" s="20" t="n"/>
      <c r="G170" s="20" t="n"/>
      <c r="H170" s="20" t="n"/>
      <c r="I170" s="20" t="n"/>
      <c r="J170" s="20" t="n"/>
      <c r="K170" s="11">
        <f>IF(OR(F170="",J170=""),"",IF(F170=J170,1,0))</f>
        <v/>
      </c>
    </row>
    <row r="171" ht="15" customHeight="1" s="12">
      <c r="A171" s="20" t="n"/>
      <c r="B171" s="20" t="n"/>
      <c r="C171" s="20" t="n"/>
      <c r="D171" s="20" t="n"/>
      <c r="E171" s="20" t="n"/>
      <c r="F171" s="20" t="n"/>
      <c r="G171" s="20" t="n"/>
      <c r="H171" s="20" t="n"/>
      <c r="I171" s="20" t="n"/>
      <c r="J171" s="20" t="n"/>
      <c r="K171" s="11">
        <f>IF(OR(F171="",J171=""),"",IF(F171=J171,1,0))</f>
        <v/>
      </c>
    </row>
    <row r="172" ht="15" customHeight="1" s="12">
      <c r="A172" s="20" t="n"/>
      <c r="B172" s="20" t="n"/>
      <c r="C172" s="20" t="n"/>
      <c r="D172" s="20" t="n"/>
      <c r="E172" s="20" t="n"/>
      <c r="F172" s="20" t="n"/>
      <c r="G172" s="20" t="n"/>
      <c r="H172" s="20" t="n"/>
      <c r="I172" s="20" t="n"/>
      <c r="J172" s="20" t="n"/>
      <c r="K172" s="11">
        <f>IF(OR(F172="",J172=""),"",IF(F172=J172,1,0))</f>
        <v/>
      </c>
    </row>
    <row r="173" ht="15" customHeight="1" s="12">
      <c r="A173" s="20" t="n"/>
      <c r="B173" s="20" t="n"/>
      <c r="C173" s="20" t="n"/>
      <c r="D173" s="20" t="n"/>
      <c r="E173" s="20" t="n"/>
      <c r="F173" s="20" t="n"/>
      <c r="G173" s="20" t="n"/>
      <c r="H173" s="20" t="n"/>
      <c r="I173" s="20" t="n"/>
      <c r="J173" s="20" t="n"/>
      <c r="K173" s="11">
        <f>IF(OR(F173="",J173=""),"",IF(F173=J173,1,0))</f>
        <v/>
      </c>
    </row>
    <row r="174" ht="15" customHeight="1" s="12">
      <c r="A174" s="20" t="n"/>
      <c r="B174" s="20" t="n"/>
      <c r="C174" s="20" t="n"/>
      <c r="D174" s="20" t="n"/>
      <c r="E174" s="20" t="n"/>
      <c r="F174" s="20" t="n"/>
      <c r="G174" s="20" t="n"/>
      <c r="H174" s="20" t="n"/>
      <c r="I174" s="20" t="n"/>
      <c r="J174" s="20" t="n"/>
      <c r="K174" s="11">
        <f>IF(OR(F174="",J174=""),"",IF(F174=J174,1,0))</f>
        <v/>
      </c>
    </row>
    <row r="175" ht="15" customHeight="1" s="12">
      <c r="A175" s="20" t="n"/>
      <c r="B175" s="20" t="n"/>
      <c r="C175" s="20" t="n"/>
      <c r="D175" s="20" t="n"/>
      <c r="E175" s="20" t="n"/>
      <c r="F175" s="20" t="n"/>
      <c r="G175" s="20" t="n"/>
      <c r="H175" s="20" t="n"/>
      <c r="I175" s="20" t="n"/>
      <c r="J175" s="20" t="n"/>
      <c r="K175" s="11">
        <f>IF(OR(F175="",J175=""),"",IF(F175=J175,1,0))</f>
        <v/>
      </c>
    </row>
    <row r="176" ht="15" customHeight="1" s="12">
      <c r="A176" s="20" t="n"/>
      <c r="B176" s="20" t="n"/>
      <c r="C176" s="20" t="n"/>
      <c r="D176" s="20" t="n"/>
      <c r="E176" s="20" t="n"/>
      <c r="F176" s="20" t="n"/>
      <c r="G176" s="20" t="n"/>
      <c r="H176" s="20" t="n"/>
      <c r="I176" s="20" t="n"/>
      <c r="J176" s="20" t="n"/>
      <c r="K176" s="11">
        <f>IF(OR(F176="",J176=""),"",IF(F176=J176,1,0))</f>
        <v/>
      </c>
    </row>
    <row r="177" ht="15" customHeight="1" s="12">
      <c r="A177" s="20" t="n"/>
      <c r="B177" s="20" t="n"/>
      <c r="C177" s="20" t="n"/>
      <c r="D177" s="20" t="n"/>
      <c r="E177" s="20" t="n"/>
      <c r="F177" s="20" t="n"/>
      <c r="G177" s="20" t="n"/>
      <c r="H177" s="20" t="n"/>
      <c r="I177" s="20" t="n"/>
      <c r="J177" s="20" t="n"/>
      <c r="K177" s="11">
        <f>IF(OR(F177="",J177=""),"",IF(F177=J177,1,0))</f>
        <v/>
      </c>
    </row>
    <row r="178" ht="15" customHeight="1" s="12">
      <c r="A178" s="20" t="n"/>
      <c r="B178" s="20" t="n"/>
      <c r="C178" s="20" t="n"/>
      <c r="D178" s="20" t="n"/>
      <c r="E178" s="20" t="n"/>
      <c r="F178" s="20" t="n"/>
      <c r="G178" s="20" t="n"/>
      <c r="H178" s="20" t="n"/>
      <c r="I178" s="20" t="n"/>
      <c r="J178" s="20" t="n"/>
      <c r="K178" s="11">
        <f>IF(OR(F178="",J178=""),"",IF(F178=J178,1,0))</f>
        <v/>
      </c>
    </row>
    <row r="179" ht="15" customHeight="1" s="12">
      <c r="A179" s="20" t="n"/>
      <c r="B179" s="20" t="n"/>
      <c r="C179" s="20" t="n"/>
      <c r="D179" s="20" t="n"/>
      <c r="E179" s="20" t="n"/>
      <c r="F179" s="20" t="n"/>
      <c r="G179" s="20" t="n"/>
      <c r="H179" s="20" t="n"/>
      <c r="I179" s="20" t="n"/>
      <c r="J179" s="20" t="n"/>
      <c r="K179" s="11">
        <f>IF(OR(F179="",J179=""),"",IF(F179=J179,1,0))</f>
        <v/>
      </c>
    </row>
    <row r="180" ht="15" customHeight="1" s="12">
      <c r="A180" s="20" t="n"/>
      <c r="B180" s="20" t="n"/>
      <c r="C180" s="20" t="n"/>
      <c r="D180" s="20" t="n"/>
      <c r="E180" s="20" t="n"/>
      <c r="F180" s="20" t="n"/>
      <c r="G180" s="20" t="n"/>
      <c r="H180" s="20" t="n"/>
      <c r="I180" s="20" t="n"/>
      <c r="J180" s="20" t="n"/>
      <c r="K180" s="11">
        <f>IF(OR(F180="",J180=""),"",IF(F180=J180,1,0))</f>
        <v/>
      </c>
    </row>
    <row r="181" ht="15" customHeight="1" s="12">
      <c r="A181" s="20" t="n"/>
      <c r="B181" s="20" t="n"/>
      <c r="C181" s="20" t="n"/>
      <c r="D181" s="20" t="n"/>
      <c r="E181" s="20" t="n"/>
      <c r="F181" s="20" t="n"/>
      <c r="G181" s="20" t="n"/>
      <c r="H181" s="20" t="n"/>
      <c r="I181" s="20" t="n"/>
      <c r="J181" s="20" t="n"/>
      <c r="K181" s="11">
        <f>IF(OR(F181="",J181=""),"",IF(F181=J181,1,0))</f>
        <v/>
      </c>
    </row>
    <row r="182" ht="15" customHeight="1" s="12">
      <c r="A182" s="20" t="n"/>
      <c r="B182" s="20" t="n"/>
      <c r="C182" s="20" t="n"/>
      <c r="D182" s="20" t="n"/>
      <c r="E182" s="20" t="n"/>
      <c r="F182" s="20" t="n"/>
      <c r="G182" s="20" t="n"/>
      <c r="H182" s="20" t="n"/>
      <c r="I182" s="20" t="n"/>
      <c r="J182" s="20" t="n"/>
      <c r="K182" s="11">
        <f>IF(OR(F182="",J182=""),"",IF(F182=J182,1,0))</f>
        <v/>
      </c>
    </row>
    <row r="183" ht="15" customHeight="1" s="12">
      <c r="A183" s="20" t="n"/>
      <c r="B183" s="20" t="n"/>
      <c r="C183" s="20" t="n"/>
      <c r="D183" s="20" t="n"/>
      <c r="E183" s="20" t="n"/>
      <c r="F183" s="20" t="n"/>
      <c r="G183" s="20" t="n"/>
      <c r="H183" s="20" t="n"/>
      <c r="I183" s="20" t="n"/>
      <c r="J183" s="20" t="n"/>
      <c r="K183" s="11">
        <f>IF(OR(F183="",J183=""),"",IF(F183=J183,1,0))</f>
        <v/>
      </c>
    </row>
    <row r="184" ht="15" customHeight="1" s="12">
      <c r="A184" s="20" t="n"/>
      <c r="B184" s="20" t="n"/>
      <c r="C184" s="20" t="n"/>
      <c r="D184" s="20" t="n"/>
      <c r="E184" s="20" t="n"/>
      <c r="F184" s="20" t="n"/>
      <c r="G184" s="20" t="n"/>
      <c r="H184" s="20" t="n"/>
      <c r="I184" s="20" t="n"/>
      <c r="J184" s="20" t="n"/>
      <c r="K184" s="11">
        <f>IF(OR(F184="",J184=""),"",IF(F184=J184,1,0))</f>
        <v/>
      </c>
    </row>
    <row r="185" ht="15" customHeight="1" s="12">
      <c r="A185" s="20" t="n"/>
      <c r="B185" s="20" t="n"/>
      <c r="C185" s="20" t="n"/>
      <c r="D185" s="20" t="n"/>
      <c r="E185" s="20" t="n"/>
      <c r="F185" s="20" t="n"/>
      <c r="G185" s="20" t="n"/>
      <c r="H185" s="20" t="n"/>
      <c r="I185" s="20" t="n"/>
      <c r="J185" s="20" t="n"/>
      <c r="K185" s="11">
        <f>IF(OR(F185="",J185=""),"",IF(F185=J185,1,0))</f>
        <v/>
      </c>
    </row>
    <row r="186" ht="15" customHeight="1" s="12">
      <c r="A186" s="20" t="n"/>
      <c r="B186" s="20" t="n"/>
      <c r="C186" s="20" t="n"/>
      <c r="D186" s="20" t="n"/>
      <c r="E186" s="20" t="n"/>
      <c r="F186" s="20" t="n"/>
      <c r="G186" s="20" t="n"/>
      <c r="H186" s="20" t="n"/>
      <c r="I186" s="20" t="n"/>
      <c r="J186" s="20" t="n"/>
      <c r="K186" s="11">
        <f>IF(OR(F186="",J186=""),"",IF(F186=J186,1,0))</f>
        <v/>
      </c>
    </row>
    <row r="187" ht="15" customHeight="1" s="12">
      <c r="A187" s="20" t="n"/>
      <c r="B187" s="20" t="n"/>
      <c r="C187" s="20" t="n"/>
      <c r="D187" s="20" t="n"/>
      <c r="E187" s="20" t="n"/>
      <c r="F187" s="20" t="n"/>
      <c r="G187" s="20" t="n"/>
      <c r="H187" s="20" t="n"/>
      <c r="I187" s="20" t="n"/>
      <c r="J187" s="20" t="n"/>
      <c r="K187" s="11">
        <f>IF(OR(F187="",J187=""),"",IF(F187=J187,1,0))</f>
        <v/>
      </c>
    </row>
    <row r="188" ht="15" customHeight="1" s="12">
      <c r="A188" s="20" t="n"/>
      <c r="B188" s="20" t="n"/>
      <c r="C188" s="20" t="n"/>
      <c r="D188" s="20" t="n"/>
      <c r="E188" s="20" t="n"/>
      <c r="F188" s="20" t="n"/>
      <c r="G188" s="20" t="n"/>
      <c r="H188" s="20" t="n"/>
      <c r="I188" s="20" t="n"/>
      <c r="J188" s="20" t="n"/>
      <c r="K188" s="11">
        <f>IF(OR(F188="",J188=""),"",IF(F188=J188,1,0))</f>
        <v/>
      </c>
    </row>
    <row r="189" ht="15" customHeight="1" s="12">
      <c r="A189" s="20" t="n"/>
      <c r="B189" s="20" t="n"/>
      <c r="C189" s="20" t="n"/>
      <c r="D189" s="20" t="n"/>
      <c r="E189" s="20" t="n"/>
      <c r="F189" s="20" t="n"/>
      <c r="G189" s="20" t="n"/>
      <c r="H189" s="20" t="n"/>
      <c r="I189" s="20" t="n"/>
      <c r="J189" s="20" t="n"/>
      <c r="K189" s="11">
        <f>IF(OR(F189="",J189=""),"",IF(F189=J189,1,0))</f>
        <v/>
      </c>
    </row>
    <row r="190" ht="15" customHeight="1" s="12">
      <c r="A190" s="20" t="n"/>
      <c r="B190" s="20" t="n"/>
      <c r="C190" s="20" t="n"/>
      <c r="D190" s="20" t="n"/>
      <c r="E190" s="20" t="n"/>
      <c r="F190" s="20" t="n"/>
      <c r="G190" s="20" t="n"/>
      <c r="H190" s="20" t="n"/>
      <c r="I190" s="20" t="n"/>
      <c r="J190" s="20" t="n"/>
      <c r="K190" s="11">
        <f>IF(OR(F190="",J190=""),"",IF(F190=J190,1,0))</f>
        <v/>
      </c>
    </row>
    <row r="191" ht="15" customHeight="1" s="12">
      <c r="A191" s="20" t="n"/>
      <c r="B191" s="20" t="n"/>
      <c r="C191" s="20" t="n"/>
      <c r="D191" s="20" t="n"/>
      <c r="E191" s="20" t="n"/>
      <c r="F191" s="20" t="n"/>
      <c r="G191" s="20" t="n"/>
      <c r="H191" s="20" t="n"/>
      <c r="I191" s="20" t="n"/>
      <c r="J191" s="20" t="n"/>
      <c r="K191" s="11">
        <f>IF(OR(F191="",J191=""),"",IF(F191=J191,1,0))</f>
        <v/>
      </c>
    </row>
    <row r="192" ht="15" customHeight="1" s="12">
      <c r="A192" s="20" t="n"/>
      <c r="B192" s="20" t="n"/>
      <c r="C192" s="20" t="n"/>
      <c r="D192" s="20" t="n"/>
      <c r="E192" s="20" t="n"/>
      <c r="F192" s="20" t="n"/>
      <c r="G192" s="20" t="n"/>
      <c r="H192" s="20" t="n"/>
      <c r="I192" s="20" t="n"/>
      <c r="J192" s="20" t="n"/>
      <c r="K192" s="11">
        <f>IF(OR(F192="",J192=""),"",IF(F192=J192,1,0))</f>
        <v/>
      </c>
    </row>
    <row r="193" ht="15" customHeight="1" s="12">
      <c r="A193" s="20" t="n"/>
      <c r="B193" s="20" t="n"/>
      <c r="C193" s="20" t="n"/>
      <c r="D193" s="20" t="n"/>
      <c r="E193" s="20" t="n"/>
      <c r="F193" s="20" t="n"/>
      <c r="G193" s="20" t="n"/>
      <c r="H193" s="20" t="n"/>
      <c r="I193" s="20" t="n"/>
      <c r="J193" s="20" t="n"/>
      <c r="K193" s="11">
        <f>IF(OR(F193="",J193=""),"",IF(F193=J193,1,0))</f>
        <v/>
      </c>
    </row>
    <row r="194" ht="15" customHeight="1" s="12">
      <c r="A194" s="20" t="n"/>
      <c r="B194" s="20" t="n"/>
      <c r="C194" s="20" t="n"/>
      <c r="D194" s="20" t="n"/>
      <c r="E194" s="20" t="n"/>
      <c r="F194" s="20" t="n"/>
      <c r="G194" s="20" t="n"/>
      <c r="H194" s="20" t="n"/>
      <c r="I194" s="20" t="n"/>
      <c r="J194" s="20" t="n"/>
      <c r="K194" s="11">
        <f>IF(OR(F194="",J194=""),"",IF(F194=J194,1,0))</f>
        <v/>
      </c>
    </row>
    <row r="195" ht="15" customHeight="1" s="12">
      <c r="A195" s="20" t="n"/>
      <c r="B195" s="20" t="n"/>
      <c r="C195" s="20" t="n"/>
      <c r="D195" s="20" t="n"/>
      <c r="E195" s="20" t="n"/>
      <c r="F195" s="20" t="n"/>
      <c r="G195" s="20" t="n"/>
      <c r="H195" s="20" t="n"/>
      <c r="I195" s="20" t="n"/>
      <c r="J195" s="20" t="n"/>
      <c r="K195" s="11">
        <f>IF(OR(F195="",J195=""),"",IF(F195=J195,1,0))</f>
        <v/>
      </c>
    </row>
    <row r="196" ht="15" customHeight="1" s="12">
      <c r="A196" s="20" t="n"/>
      <c r="B196" s="20" t="n"/>
      <c r="C196" s="20" t="n"/>
      <c r="D196" s="20" t="n"/>
      <c r="E196" s="20" t="n"/>
      <c r="F196" s="20" t="n"/>
      <c r="G196" s="20" t="n"/>
      <c r="H196" s="20" t="n"/>
      <c r="I196" s="20" t="n"/>
      <c r="J196" s="20" t="n"/>
      <c r="K196" s="11">
        <f>IF(OR(F196="",J196=""),"",IF(F196=J196,1,0))</f>
        <v/>
      </c>
    </row>
    <row r="197" ht="15" customHeight="1" s="12">
      <c r="A197" s="20" t="n"/>
      <c r="B197" s="20" t="n"/>
      <c r="C197" s="20" t="n"/>
      <c r="D197" s="20" t="n"/>
      <c r="E197" s="20" t="n"/>
      <c r="F197" s="20" t="n"/>
      <c r="G197" s="20" t="n"/>
      <c r="H197" s="20" t="n"/>
      <c r="I197" s="20" t="n"/>
      <c r="J197" s="20" t="n"/>
      <c r="K197" s="11">
        <f>IF(OR(F197="",J197=""),"",IF(F197=J197,1,0))</f>
        <v/>
      </c>
    </row>
    <row r="198" ht="15" customHeight="1" s="12">
      <c r="A198" s="20" t="n"/>
      <c r="B198" s="20" t="n"/>
      <c r="C198" s="20" t="n"/>
      <c r="D198" s="20" t="n"/>
      <c r="E198" s="20" t="n"/>
      <c r="F198" s="20" t="n"/>
      <c r="G198" s="20" t="n"/>
      <c r="H198" s="20" t="n"/>
      <c r="I198" s="20" t="n"/>
      <c r="J198" s="20" t="n"/>
      <c r="K198" s="11">
        <f>IF(OR(F198="",J198=""),"",IF(F198=J198,1,0))</f>
        <v/>
      </c>
    </row>
    <row r="199" ht="15" customHeight="1" s="12">
      <c r="A199" s="20" t="n"/>
      <c r="B199" s="20" t="n"/>
      <c r="C199" s="20" t="n"/>
      <c r="D199" s="20" t="n"/>
      <c r="E199" s="20" t="n"/>
      <c r="F199" s="20" t="n"/>
      <c r="G199" s="20" t="n"/>
      <c r="H199" s="20" t="n"/>
      <c r="I199" s="20" t="n"/>
      <c r="J199" s="20" t="n"/>
      <c r="K199" s="11">
        <f>IF(OR(F199="",J199=""),"",IF(F199=J199,1,0))</f>
        <v/>
      </c>
    </row>
    <row r="200" ht="15" customHeight="1" s="12">
      <c r="A200" s="20" t="n"/>
      <c r="B200" s="20" t="n"/>
      <c r="C200" s="20" t="n"/>
      <c r="D200" s="20" t="n"/>
      <c r="E200" s="20" t="n"/>
      <c r="F200" s="20" t="n"/>
      <c r="G200" s="20" t="n"/>
      <c r="H200" s="20" t="n"/>
      <c r="I200" s="20" t="n"/>
      <c r="J200" s="20" t="n"/>
      <c r="K200" s="11">
        <f>IF(OR(F200="",J200=""),"",IF(F200=J200,1,0))</f>
        <v/>
      </c>
    </row>
    <row r="201" ht="15" customHeight="1" s="12">
      <c r="A201" s="20" t="n"/>
      <c r="B201" s="20" t="n"/>
      <c r="C201" s="20" t="n"/>
      <c r="D201" s="20" t="n"/>
      <c r="E201" s="20" t="n"/>
      <c r="F201" s="20" t="n"/>
      <c r="G201" s="20" t="n"/>
      <c r="H201" s="20" t="n"/>
      <c r="I201" s="20" t="n"/>
      <c r="J201" s="20" t="n"/>
      <c r="K201" s="11">
        <f>IF(OR(F201="",J201=""),"",IF(F201=J201,1,0))</f>
        <v/>
      </c>
    </row>
    <row r="202" ht="15" customHeight="1" s="12">
      <c r="A202" s="20" t="n"/>
      <c r="B202" s="20" t="n"/>
      <c r="C202" s="20" t="n"/>
      <c r="D202" s="20" t="n"/>
      <c r="E202" s="20" t="n"/>
      <c r="F202" s="20" t="n"/>
      <c r="G202" s="20" t="n"/>
      <c r="H202" s="20" t="n"/>
      <c r="I202" s="20" t="n"/>
      <c r="J202" s="20" t="n"/>
      <c r="K202" s="11">
        <f>IF(OR(F202="",J202=""),"",IF(F202=J202,1,0))</f>
        <v/>
      </c>
    </row>
    <row r="203" ht="15" customHeight="1" s="12">
      <c r="A203" s="20" t="n"/>
      <c r="B203" s="20" t="n"/>
      <c r="C203" s="20" t="n"/>
      <c r="D203" s="20" t="n"/>
      <c r="E203" s="20" t="n"/>
      <c r="F203" s="20" t="n"/>
      <c r="G203" s="20" t="n"/>
      <c r="H203" s="20" t="n"/>
      <c r="I203" s="20" t="n"/>
      <c r="J203" s="20" t="n"/>
      <c r="K203" s="11">
        <f>IF(OR(F203="",J203=""),"",IF(F203=J203,1,0))</f>
        <v/>
      </c>
    </row>
    <row r="204" ht="15" customHeight="1" s="12">
      <c r="A204" s="20" t="n"/>
      <c r="B204" s="20" t="n"/>
      <c r="C204" s="20" t="n"/>
      <c r="D204" s="20" t="n"/>
      <c r="E204" s="20" t="n"/>
      <c r="F204" s="20" t="n"/>
      <c r="G204" s="20" t="n"/>
      <c r="H204" s="20" t="n"/>
      <c r="I204" s="20" t="n"/>
      <c r="J204" s="20" t="n"/>
      <c r="K204" s="11">
        <f>IF(OR(F204="",J204=""),"",IF(F204=J204,1,0))</f>
        <v/>
      </c>
    </row>
    <row r="205" ht="15" customHeight="1" s="12">
      <c r="A205" s="20" t="n"/>
      <c r="B205" s="20" t="n"/>
      <c r="C205" s="20" t="n"/>
      <c r="D205" s="20" t="n"/>
      <c r="E205" s="20" t="n"/>
      <c r="F205" s="20" t="n"/>
      <c r="G205" s="20" t="n"/>
      <c r="H205" s="20" t="n"/>
      <c r="I205" s="20" t="n"/>
      <c r="J205" s="20" t="n"/>
      <c r="K205" s="11">
        <f>IF(OR(F205="",J205=""),"",IF(F205=J205,1,0))</f>
        <v/>
      </c>
    </row>
    <row r="206" ht="15" customHeight="1" s="12">
      <c r="A206" s="20" t="n"/>
      <c r="B206" s="20" t="n"/>
      <c r="C206" s="20" t="n"/>
      <c r="D206" s="20" t="n"/>
      <c r="E206" s="20" t="n"/>
      <c r="F206" s="20" t="n"/>
      <c r="G206" s="20" t="n"/>
      <c r="H206" s="20" t="n"/>
      <c r="I206" s="20" t="n"/>
      <c r="J206" s="20" t="n"/>
      <c r="K206" s="11">
        <f>IF(OR(F206="",J206=""),"",IF(F206=J206,1,0))</f>
        <v/>
      </c>
    </row>
    <row r="207" ht="15" customHeight="1" s="12">
      <c r="A207" s="20" t="n"/>
      <c r="B207" s="20" t="n"/>
      <c r="C207" s="20" t="n"/>
      <c r="D207" s="20" t="n"/>
      <c r="E207" s="20" t="n"/>
      <c r="F207" s="20" t="n"/>
      <c r="G207" s="20" t="n"/>
      <c r="H207" s="20" t="n"/>
      <c r="I207" s="20" t="n"/>
      <c r="J207" s="20" t="n"/>
      <c r="K207" s="11">
        <f>IF(OR(F207="",J207=""),"",IF(F207=J207,1,0))</f>
        <v/>
      </c>
    </row>
    <row r="208" ht="15" customHeight="1" s="12">
      <c r="A208" s="20" t="n"/>
      <c r="B208" s="20" t="n"/>
      <c r="C208" s="20" t="n"/>
      <c r="D208" s="20" t="n"/>
      <c r="E208" s="20" t="n"/>
      <c r="F208" s="20" t="n"/>
      <c r="G208" s="20" t="n"/>
      <c r="H208" s="20" t="n"/>
      <c r="I208" s="20" t="n"/>
      <c r="J208" s="20" t="n"/>
      <c r="K208" s="11">
        <f>IF(OR(F208="",J208=""),"",IF(F208=J208,1,0))</f>
        <v/>
      </c>
    </row>
    <row r="209" ht="15" customHeight="1" s="12">
      <c r="A209" s="20" t="n"/>
      <c r="B209" s="20" t="n"/>
      <c r="C209" s="20" t="n"/>
      <c r="D209" s="20" t="n"/>
      <c r="E209" s="20" t="n"/>
      <c r="F209" s="20" t="n"/>
      <c r="G209" s="20" t="n"/>
      <c r="H209" s="20" t="n"/>
      <c r="I209" s="20" t="n"/>
      <c r="J209" s="20" t="n"/>
      <c r="K209" s="11">
        <f>IF(OR(F209="",J209=""),"",IF(F209=J209,1,0))</f>
        <v/>
      </c>
    </row>
    <row r="210" ht="15" customHeight="1" s="12">
      <c r="A210" s="20" t="n"/>
      <c r="B210" s="20" t="n"/>
      <c r="C210" s="20" t="n"/>
      <c r="D210" s="20" t="n"/>
      <c r="E210" s="20" t="n"/>
      <c r="F210" s="20" t="n"/>
      <c r="G210" s="20" t="n"/>
      <c r="H210" s="20" t="n"/>
      <c r="I210" s="20" t="n"/>
      <c r="J210" s="20" t="n"/>
      <c r="K210" s="11">
        <f>IF(OR(F210="",J210=""),"",IF(F210=J210,1,0))</f>
        <v/>
      </c>
    </row>
    <row r="211" ht="15" customHeight="1" s="12">
      <c r="A211" s="20" t="n"/>
      <c r="B211" s="20" t="n"/>
      <c r="C211" s="20" t="n"/>
      <c r="D211" s="20" t="n"/>
      <c r="E211" s="20" t="n"/>
      <c r="F211" s="20" t="n"/>
      <c r="G211" s="20" t="n"/>
      <c r="H211" s="20" t="n"/>
      <c r="I211" s="20" t="n"/>
      <c r="J211" s="20" t="n"/>
      <c r="K211" s="11">
        <f>IF(OR(F211="",J211=""),"",IF(F211=J211,1,0))</f>
        <v/>
      </c>
    </row>
    <row r="212" ht="15" customHeight="1" s="12">
      <c r="A212" s="20" t="n"/>
      <c r="B212" s="20" t="n"/>
      <c r="C212" s="20" t="n"/>
      <c r="D212" s="20" t="n"/>
      <c r="E212" s="20" t="n"/>
      <c r="F212" s="20" t="n"/>
      <c r="G212" s="20" t="n"/>
      <c r="H212" s="20" t="n"/>
      <c r="I212" s="20" t="n"/>
      <c r="J212" s="20" t="n"/>
      <c r="K212" s="11">
        <f>IF(OR(F212="",J212=""),"",IF(F212=J212,1,0))</f>
        <v/>
      </c>
    </row>
    <row r="213" ht="15" customHeight="1" s="12">
      <c r="A213" s="20" t="n"/>
      <c r="B213" s="20" t="n"/>
      <c r="C213" s="20" t="n"/>
      <c r="D213" s="20" t="n"/>
      <c r="E213" s="20" t="n"/>
      <c r="F213" s="20" t="n"/>
      <c r="G213" s="20" t="n"/>
      <c r="H213" s="20" t="n"/>
      <c r="I213" s="20" t="n"/>
      <c r="J213" s="20" t="n"/>
      <c r="K213" s="11">
        <f>IF(OR(F213="",J213=""),"",IF(F213=J213,1,0))</f>
        <v/>
      </c>
    </row>
    <row r="214" ht="15" customHeight="1" s="12">
      <c r="A214" s="20" t="n"/>
      <c r="B214" s="20" t="n"/>
      <c r="C214" s="20" t="n"/>
      <c r="D214" s="20" t="n"/>
      <c r="E214" s="20" t="n"/>
      <c r="F214" s="20" t="n"/>
      <c r="G214" s="20" t="n"/>
      <c r="H214" s="20" t="n"/>
      <c r="I214" s="20" t="n"/>
      <c r="J214" s="20" t="n"/>
      <c r="K214" s="11">
        <f>IF(OR(F214="",J214=""),"",IF(F214=J214,1,0))</f>
        <v/>
      </c>
    </row>
    <row r="215" ht="15" customHeight="1" s="12">
      <c r="A215" s="20" t="n"/>
      <c r="B215" s="20" t="n"/>
      <c r="C215" s="20" t="n"/>
      <c r="D215" s="20" t="n"/>
      <c r="E215" s="20" t="n"/>
      <c r="F215" s="20" t="n"/>
      <c r="G215" s="20" t="n"/>
      <c r="H215" s="20" t="n"/>
      <c r="I215" s="20" t="n"/>
      <c r="J215" s="20" t="n"/>
      <c r="K215" s="11">
        <f>IF(OR(F215="",J215=""),"",IF(F215=J215,1,0))</f>
        <v/>
      </c>
    </row>
    <row r="216" ht="15" customHeight="1" s="12">
      <c r="A216" s="20" t="n"/>
      <c r="B216" s="20" t="n"/>
      <c r="C216" s="20" t="n"/>
      <c r="D216" s="20" t="n"/>
      <c r="E216" s="20" t="n"/>
      <c r="F216" s="20" t="n"/>
      <c r="G216" s="20" t="n"/>
      <c r="H216" s="20" t="n"/>
      <c r="I216" s="20" t="n"/>
      <c r="J216" s="20" t="n"/>
      <c r="K216" s="11">
        <f>IF(OR(F216="",J216=""),"",IF(F216=J216,1,0))</f>
        <v/>
      </c>
    </row>
    <row r="217" ht="15" customHeight="1" s="12">
      <c r="A217" s="20" t="n"/>
      <c r="B217" s="20" t="n"/>
      <c r="C217" s="20" t="n"/>
      <c r="D217" s="20" t="n"/>
      <c r="E217" s="20" t="n"/>
      <c r="F217" s="20" t="n"/>
      <c r="G217" s="20" t="n"/>
      <c r="H217" s="20" t="n"/>
      <c r="I217" s="20" t="n"/>
      <c r="J217" s="20" t="n"/>
      <c r="K217" s="11">
        <f>IF(OR(F217="",J217=""),"",IF(F217=J217,1,0))</f>
        <v/>
      </c>
    </row>
    <row r="218" ht="15" customHeight="1" s="12">
      <c r="A218" s="20" t="n"/>
      <c r="B218" s="20" t="n"/>
      <c r="C218" s="20" t="n"/>
      <c r="D218" s="20" t="n"/>
      <c r="E218" s="20" t="n"/>
      <c r="F218" s="20" t="n"/>
      <c r="G218" s="20" t="n"/>
      <c r="H218" s="20" t="n"/>
      <c r="I218" s="20" t="n"/>
      <c r="J218" s="20" t="n"/>
      <c r="K218" s="11">
        <f>IF(OR(F218="",J218=""),"",IF(F218=J218,1,0))</f>
        <v/>
      </c>
    </row>
    <row r="219" ht="15" customHeight="1" s="12">
      <c r="A219" s="20" t="n"/>
      <c r="B219" s="20" t="n"/>
      <c r="C219" s="20" t="n"/>
      <c r="D219" s="20" t="n"/>
      <c r="E219" s="20" t="n"/>
      <c r="F219" s="20" t="n"/>
      <c r="G219" s="20" t="n"/>
      <c r="H219" s="20" t="n"/>
      <c r="I219" s="20" t="n"/>
      <c r="J219" s="20" t="n"/>
      <c r="K219" s="11">
        <f>IF(OR(F219="",J219=""),"",IF(F219=J219,1,0))</f>
        <v/>
      </c>
    </row>
    <row r="220" ht="15" customHeight="1" s="12">
      <c r="A220" s="20" t="n"/>
      <c r="B220" s="20" t="n"/>
      <c r="C220" s="20" t="n"/>
      <c r="D220" s="20" t="n"/>
      <c r="E220" s="20" t="n"/>
      <c r="F220" s="20" t="n"/>
      <c r="G220" s="20" t="n"/>
      <c r="H220" s="20" t="n"/>
      <c r="I220" s="20" t="n"/>
      <c r="J220" s="20" t="n"/>
      <c r="K220" s="11">
        <f>IF(OR(F220="",J220=""),"",IF(F220=J220,1,0))</f>
        <v/>
      </c>
    </row>
    <row r="221" ht="15" customHeight="1" s="12">
      <c r="A221" s="20" t="n"/>
      <c r="B221" s="20" t="n"/>
      <c r="C221" s="20" t="n"/>
      <c r="D221" s="20" t="n"/>
      <c r="E221" s="20" t="n"/>
      <c r="F221" s="20" t="n"/>
      <c r="G221" s="20" t="n"/>
      <c r="H221" s="20" t="n"/>
      <c r="I221" s="20" t="n"/>
      <c r="J221" s="20" t="n"/>
      <c r="K221" s="11">
        <f>IF(OR(F221="",J221=""),"",IF(F221=J221,1,0))</f>
        <v/>
      </c>
    </row>
    <row r="222" ht="15" customHeight="1" s="12">
      <c r="A222" s="20" t="n"/>
      <c r="B222" s="20" t="n"/>
      <c r="C222" s="20" t="n"/>
      <c r="D222" s="20" t="n"/>
      <c r="E222" s="20" t="n"/>
      <c r="F222" s="20" t="n"/>
      <c r="G222" s="20" t="n"/>
      <c r="H222" s="20" t="n"/>
      <c r="I222" s="20" t="n"/>
      <c r="J222" s="20" t="n"/>
      <c r="K222" s="11">
        <f>IF(OR(F222="",J222=""),"",IF(F222=J222,1,0))</f>
        <v/>
      </c>
    </row>
    <row r="223" ht="15" customHeight="1" s="12">
      <c r="A223" s="20" t="n"/>
      <c r="B223" s="20" t="n"/>
      <c r="C223" s="20" t="n"/>
      <c r="D223" s="20" t="n"/>
      <c r="E223" s="20" t="n"/>
      <c r="F223" s="20" t="n"/>
      <c r="G223" s="20" t="n"/>
      <c r="H223" s="20" t="n"/>
      <c r="I223" s="20" t="n"/>
      <c r="J223" s="20" t="n"/>
      <c r="K223" s="11">
        <f>IF(OR(F223="",J223=""),"",IF(F223=J223,1,0))</f>
        <v/>
      </c>
    </row>
    <row r="224" ht="15" customHeight="1" s="12">
      <c r="A224" s="20" t="n"/>
      <c r="B224" s="20" t="n"/>
      <c r="C224" s="20" t="n"/>
      <c r="D224" s="20" t="n"/>
      <c r="E224" s="20" t="n"/>
      <c r="F224" s="20" t="n"/>
      <c r="G224" s="20" t="n"/>
      <c r="H224" s="20" t="n"/>
      <c r="I224" s="20" t="n"/>
      <c r="J224" s="20" t="n"/>
      <c r="K224" s="11">
        <f>IF(OR(F224="",J224=""),"",IF(F224=J224,1,0))</f>
        <v/>
      </c>
    </row>
    <row r="225" ht="15" customHeight="1" s="12">
      <c r="A225" s="20" t="n"/>
      <c r="B225" s="20" t="n"/>
      <c r="C225" s="20" t="n"/>
      <c r="D225" s="20" t="n"/>
      <c r="E225" s="20" t="n"/>
      <c r="F225" s="20" t="n"/>
      <c r="G225" s="20" t="n"/>
      <c r="H225" s="20" t="n"/>
      <c r="I225" s="20" t="n"/>
      <c r="J225" s="20" t="n"/>
      <c r="K225" s="11">
        <f>IF(OR(F225="",J225=""),"",IF(F225=J225,1,0))</f>
        <v/>
      </c>
    </row>
    <row r="226" ht="15" customHeight="1" s="12">
      <c r="A226" s="20" t="n"/>
      <c r="B226" s="20" t="n"/>
      <c r="C226" s="20" t="n"/>
      <c r="D226" s="20" t="n"/>
      <c r="E226" s="20" t="n"/>
      <c r="F226" s="20" t="n"/>
      <c r="G226" s="20" t="n"/>
      <c r="H226" s="20" t="n"/>
      <c r="I226" s="20" t="n"/>
      <c r="J226" s="20" t="n"/>
      <c r="K226" s="11">
        <f>IF(OR(F226="",J226=""),"",IF(F226=J226,1,0))</f>
        <v/>
      </c>
    </row>
    <row r="227" ht="15" customHeight="1" s="12">
      <c r="A227" s="20" t="n"/>
      <c r="B227" s="20" t="n"/>
      <c r="C227" s="20" t="n"/>
      <c r="D227" s="20" t="n"/>
      <c r="E227" s="20" t="n"/>
      <c r="F227" s="20" t="n"/>
      <c r="G227" s="20" t="n"/>
      <c r="H227" s="20" t="n"/>
      <c r="I227" s="20" t="n"/>
      <c r="J227" s="20" t="n"/>
      <c r="K227" s="11">
        <f>IF(OR(F227="",J227=""),"",IF(F227=J227,1,0))</f>
        <v/>
      </c>
    </row>
    <row r="228" ht="15" customHeight="1" s="12">
      <c r="A228" s="20" t="n"/>
      <c r="B228" s="20" t="n"/>
      <c r="C228" s="20" t="n"/>
      <c r="D228" s="20" t="n"/>
      <c r="E228" s="20" t="n"/>
      <c r="F228" s="20" t="n"/>
      <c r="G228" s="20" t="n"/>
      <c r="H228" s="20" t="n"/>
      <c r="I228" s="20" t="n"/>
      <c r="J228" s="20" t="n"/>
      <c r="K228" s="11">
        <f>IF(OR(F228="",J228=""),"",IF(F228=J228,1,0))</f>
        <v/>
      </c>
    </row>
    <row r="229" ht="15" customHeight="1" s="12">
      <c r="A229" s="20" t="n"/>
      <c r="B229" s="20" t="n"/>
      <c r="C229" s="20" t="n"/>
      <c r="D229" s="20" t="n"/>
      <c r="E229" s="20" t="n"/>
      <c r="F229" s="20" t="n"/>
      <c r="G229" s="20" t="n"/>
      <c r="H229" s="20" t="n"/>
      <c r="I229" s="20" t="n"/>
      <c r="J229" s="20" t="n"/>
      <c r="K229" s="11">
        <f>IF(OR(F229="",J229=""),"",IF(F229=J229,1,0))</f>
        <v/>
      </c>
    </row>
    <row r="230" ht="15" customHeight="1" s="12">
      <c r="A230" s="20" t="n"/>
      <c r="B230" s="20" t="n"/>
      <c r="C230" s="20" t="n"/>
      <c r="D230" s="20" t="n"/>
      <c r="E230" s="20" t="n"/>
      <c r="F230" s="20" t="n"/>
      <c r="G230" s="20" t="n"/>
      <c r="H230" s="20" t="n"/>
      <c r="I230" s="20" t="n"/>
      <c r="J230" s="20" t="n"/>
      <c r="K230" s="11">
        <f>IF(OR(F230="",J230=""),"",IF(F230=J230,1,0))</f>
        <v/>
      </c>
    </row>
    <row r="231" ht="15" customHeight="1" s="12">
      <c r="A231" s="20" t="n"/>
      <c r="B231" s="20" t="n"/>
      <c r="C231" s="20" t="n"/>
      <c r="D231" s="20" t="n"/>
      <c r="E231" s="20" t="n"/>
      <c r="F231" s="20" t="n"/>
      <c r="G231" s="20" t="n"/>
      <c r="H231" s="20" t="n"/>
      <c r="I231" s="20" t="n"/>
      <c r="J231" s="20" t="n"/>
      <c r="K231" s="11">
        <f>IF(OR(F231="",J231=""),"",IF(F231=J231,1,0))</f>
        <v/>
      </c>
    </row>
    <row r="232" ht="15" customHeight="1" s="12">
      <c r="A232" s="20" t="n"/>
      <c r="B232" s="20" t="n"/>
      <c r="C232" s="20" t="n"/>
      <c r="D232" s="20" t="n"/>
      <c r="E232" s="20" t="n"/>
      <c r="F232" s="20" t="n"/>
      <c r="G232" s="20" t="n"/>
      <c r="H232" s="20" t="n"/>
      <c r="I232" s="20" t="n"/>
      <c r="J232" s="20" t="n"/>
      <c r="K232" s="11">
        <f>IF(OR(F232="",J232=""),"",IF(F232=J232,1,0))</f>
        <v/>
      </c>
    </row>
    <row r="233" ht="15" customHeight="1" s="12">
      <c r="A233" s="20" t="n"/>
      <c r="B233" s="20" t="n"/>
      <c r="C233" s="20" t="n"/>
      <c r="D233" s="20" t="n"/>
      <c r="E233" s="20" t="n"/>
      <c r="F233" s="20" t="n"/>
      <c r="G233" s="20" t="n"/>
      <c r="H233" s="20" t="n"/>
      <c r="I233" s="20" t="n"/>
      <c r="J233" s="20" t="n"/>
      <c r="K233" s="11">
        <f>IF(OR(F233="",J233=""),"",IF(F233=J233,1,0))</f>
        <v/>
      </c>
    </row>
    <row r="234" ht="15" customHeight="1" s="12">
      <c r="A234" s="20" t="n"/>
      <c r="B234" s="20" t="n"/>
      <c r="C234" s="20" t="n"/>
      <c r="D234" s="20" t="n"/>
      <c r="E234" s="20" t="n"/>
      <c r="F234" s="20" t="n"/>
      <c r="G234" s="20" t="n"/>
      <c r="H234" s="20" t="n"/>
      <c r="I234" s="20" t="n"/>
      <c r="J234" s="20" t="n"/>
      <c r="K234" s="11">
        <f>IF(OR(F234="",J234=""),"",IF(F234=J234,1,0))</f>
        <v/>
      </c>
    </row>
    <row r="235" ht="15" customHeight="1" s="12">
      <c r="A235" s="20" t="n"/>
      <c r="B235" s="20" t="n"/>
      <c r="C235" s="20" t="n"/>
      <c r="D235" s="20" t="n"/>
      <c r="E235" s="20" t="n"/>
      <c r="F235" s="20" t="n"/>
      <c r="G235" s="20" t="n"/>
      <c r="H235" s="20" t="n"/>
      <c r="I235" s="20" t="n"/>
      <c r="J235" s="20" t="n"/>
      <c r="K235" s="11">
        <f>IF(OR(F235="",J235=""),"",IF(F235=J235,1,0))</f>
        <v/>
      </c>
    </row>
    <row r="236" ht="15" customHeight="1" s="12">
      <c r="A236" s="20" t="n"/>
      <c r="B236" s="20" t="n"/>
      <c r="C236" s="20" t="n"/>
      <c r="D236" s="20" t="n"/>
      <c r="E236" s="20" t="n"/>
      <c r="F236" s="20" t="n"/>
      <c r="G236" s="20" t="n"/>
      <c r="H236" s="20" t="n"/>
      <c r="I236" s="20" t="n"/>
      <c r="J236" s="20" t="n"/>
      <c r="K236" s="11">
        <f>IF(OR(F236="",J236=""),"",IF(F236=J236,1,0))</f>
        <v/>
      </c>
    </row>
    <row r="237" ht="15" customHeight="1" s="12">
      <c r="A237" s="20" t="n"/>
      <c r="B237" s="20" t="n"/>
      <c r="C237" s="20" t="n"/>
      <c r="D237" s="20" t="n"/>
      <c r="E237" s="20" t="n"/>
      <c r="F237" s="20" t="n"/>
      <c r="G237" s="20" t="n"/>
      <c r="H237" s="20" t="n"/>
      <c r="I237" s="20" t="n"/>
      <c r="J237" s="20" t="n"/>
      <c r="K237" s="11">
        <f>IF(OR(F237="",J237=""),"",IF(F237=J237,1,0))</f>
        <v/>
      </c>
    </row>
    <row r="238" ht="15" customHeight="1" s="12">
      <c r="A238" s="20" t="n"/>
      <c r="B238" s="20" t="n"/>
      <c r="C238" s="20" t="n"/>
      <c r="D238" s="20" t="n"/>
      <c r="E238" s="20" t="n"/>
      <c r="F238" s="20" t="n"/>
      <c r="G238" s="20" t="n"/>
      <c r="H238" s="20" t="n"/>
      <c r="I238" s="20" t="n"/>
      <c r="J238" s="20" t="n"/>
      <c r="K238" s="11">
        <f>IF(OR(F238="",J238=""),"",IF(F238=J238,1,0))</f>
        <v/>
      </c>
    </row>
    <row r="239" ht="15" customHeight="1" s="12">
      <c r="A239" s="20" t="n"/>
      <c r="B239" s="20" t="n"/>
      <c r="C239" s="20" t="n"/>
      <c r="D239" s="20" t="n"/>
      <c r="E239" s="20" t="n"/>
      <c r="F239" s="20" t="n"/>
      <c r="G239" s="20" t="n"/>
      <c r="H239" s="20" t="n"/>
      <c r="I239" s="20" t="n"/>
      <c r="J239" s="20" t="n"/>
      <c r="K239" s="11">
        <f>IF(OR(F239="",J239=""),"",IF(F239=J239,1,0))</f>
        <v/>
      </c>
    </row>
    <row r="240" ht="15" customHeight="1" s="12">
      <c r="A240" s="20" t="n"/>
      <c r="B240" s="20" t="n"/>
      <c r="C240" s="20" t="n"/>
      <c r="D240" s="20" t="n"/>
      <c r="E240" s="20" t="n"/>
      <c r="F240" s="20" t="n"/>
      <c r="G240" s="20" t="n"/>
      <c r="H240" s="20" t="n"/>
      <c r="I240" s="20" t="n"/>
      <c r="J240" s="20" t="n"/>
      <c r="K240" s="11">
        <f>IF(OR(F240="",J240=""),"",IF(F240=J240,1,0))</f>
        <v/>
      </c>
    </row>
    <row r="241" ht="15" customHeight="1" s="12">
      <c r="A241" s="20" t="n"/>
      <c r="B241" s="20" t="n"/>
      <c r="C241" s="20" t="n"/>
      <c r="D241" s="20" t="n"/>
      <c r="E241" s="20" t="n"/>
      <c r="F241" s="20" t="n"/>
      <c r="G241" s="20" t="n"/>
      <c r="H241" s="20" t="n"/>
      <c r="I241" s="20" t="n"/>
      <c r="J241" s="20" t="n"/>
      <c r="K241" s="11">
        <f>IF(OR(F241="",J241=""),"",IF(F241=J241,1,0))</f>
        <v/>
      </c>
    </row>
    <row r="242" ht="15" customHeight="1" s="12">
      <c r="A242" s="20" t="n"/>
      <c r="B242" s="20" t="n"/>
      <c r="C242" s="20" t="n"/>
      <c r="D242" s="20" t="n"/>
      <c r="E242" s="20" t="n"/>
      <c r="F242" s="20" t="n"/>
      <c r="G242" s="20" t="n"/>
      <c r="H242" s="20" t="n"/>
      <c r="I242" s="20" t="n"/>
      <c r="J242" s="20" t="n"/>
      <c r="K242" s="11">
        <f>IF(OR(F242="",J242=""),"",IF(F242=J242,1,0))</f>
        <v/>
      </c>
    </row>
    <row r="243" ht="15" customHeight="1" s="12">
      <c r="A243" s="20" t="n"/>
      <c r="B243" s="20" t="n"/>
      <c r="C243" s="20" t="n"/>
      <c r="D243" s="20" t="n"/>
      <c r="E243" s="20" t="n"/>
      <c r="F243" s="20" t="n"/>
      <c r="G243" s="20" t="n"/>
      <c r="H243" s="20" t="n"/>
      <c r="I243" s="20" t="n"/>
      <c r="J243" s="20" t="n"/>
      <c r="K243" s="11">
        <f>IF(OR(F243="",J243=""),"",IF(F243=J243,1,0))</f>
        <v/>
      </c>
    </row>
    <row r="244" ht="15" customHeight="1" s="12">
      <c r="A244" s="20" t="n"/>
      <c r="B244" s="20" t="n"/>
      <c r="C244" s="20" t="n"/>
      <c r="D244" s="20" t="n"/>
      <c r="E244" s="20" t="n"/>
      <c r="F244" s="20" t="n"/>
      <c r="G244" s="20" t="n"/>
      <c r="H244" s="20" t="n"/>
      <c r="I244" s="20" t="n"/>
      <c r="J244" s="20" t="n"/>
      <c r="K244" s="11">
        <f>IF(OR(F244="",J244=""),"",IF(F244=J244,1,0))</f>
        <v/>
      </c>
    </row>
    <row r="245" ht="15" customHeight="1" s="12">
      <c r="A245" s="20" t="n"/>
      <c r="B245" s="20" t="n"/>
      <c r="C245" s="20" t="n"/>
      <c r="D245" s="20" t="n"/>
      <c r="E245" s="20" t="n"/>
      <c r="F245" s="20" t="n"/>
      <c r="G245" s="20" t="n"/>
      <c r="H245" s="20" t="n"/>
      <c r="I245" s="20" t="n"/>
      <c r="J245" s="20" t="n"/>
      <c r="K245" s="11">
        <f>IF(OR(F245="",J245=""),"",IF(F245=J245,1,0))</f>
        <v/>
      </c>
    </row>
    <row r="246" ht="15" customHeight="1" s="12">
      <c r="A246" s="20" t="n"/>
      <c r="B246" s="20" t="n"/>
      <c r="C246" s="20" t="n"/>
      <c r="D246" s="20" t="n"/>
      <c r="E246" s="20" t="n"/>
      <c r="F246" s="20" t="n"/>
      <c r="G246" s="20" t="n"/>
      <c r="H246" s="20" t="n"/>
      <c r="I246" s="20" t="n"/>
      <c r="J246" s="20" t="n"/>
      <c r="K246" s="11">
        <f>IF(OR(F246="",J246=""),"",IF(F246=J246,1,0))</f>
        <v/>
      </c>
    </row>
    <row r="247" ht="15" customHeight="1" s="12">
      <c r="A247" s="20" t="n"/>
      <c r="B247" s="20" t="n"/>
      <c r="C247" s="20" t="n"/>
      <c r="D247" s="20" t="n"/>
      <c r="E247" s="20" t="n"/>
      <c r="F247" s="20" t="n"/>
      <c r="G247" s="20" t="n"/>
      <c r="H247" s="20" t="n"/>
      <c r="I247" s="20" t="n"/>
      <c r="J247" s="20" t="n"/>
      <c r="K247" s="11">
        <f>IF(OR(F247="",J247=""),"",IF(F247=J247,1,0))</f>
        <v/>
      </c>
    </row>
    <row r="248" ht="15" customHeight="1" s="12">
      <c r="A248" s="20" t="n"/>
      <c r="B248" s="20" t="n"/>
      <c r="C248" s="20" t="n"/>
      <c r="D248" s="20" t="n"/>
      <c r="E248" s="20" t="n"/>
      <c r="F248" s="20" t="n"/>
      <c r="G248" s="20" t="n"/>
      <c r="H248" s="20" t="n"/>
      <c r="I248" s="20" t="n"/>
      <c r="J248" s="20" t="n"/>
      <c r="K248" s="11">
        <f>IF(OR(F248="",J248=""),"",IF(F248=J248,1,0))</f>
        <v/>
      </c>
    </row>
    <row r="249" ht="15" customHeight="1" s="12">
      <c r="A249" s="20" t="n"/>
      <c r="B249" s="20" t="n"/>
      <c r="C249" s="20" t="n"/>
      <c r="D249" s="20" t="n"/>
      <c r="E249" s="20" t="n"/>
      <c r="F249" s="20" t="n"/>
      <c r="G249" s="20" t="n"/>
      <c r="H249" s="20" t="n"/>
      <c r="I249" s="20" t="n"/>
      <c r="J249" s="20" t="n"/>
      <c r="K249" s="11">
        <f>IF(OR(F249="",J249=""),"",IF(F249=J249,1,0))</f>
        <v/>
      </c>
    </row>
    <row r="250" ht="15" customHeight="1" s="12">
      <c r="A250" s="20" t="n"/>
      <c r="B250" s="20" t="n"/>
      <c r="C250" s="20" t="n"/>
      <c r="D250" s="20" t="n"/>
      <c r="E250" s="20" t="n"/>
      <c r="F250" s="20" t="n"/>
      <c r="G250" s="20" t="n"/>
      <c r="H250" s="20" t="n"/>
      <c r="I250" s="20" t="n"/>
      <c r="J250" s="20" t="n"/>
      <c r="K250" s="11">
        <f>IF(OR(F250="",J250=""),"",IF(F250=J250,1,0))</f>
        <v/>
      </c>
    </row>
    <row r="251" ht="15" customHeight="1" s="12">
      <c r="A251" s="20" t="n"/>
      <c r="B251" s="20" t="n"/>
      <c r="C251" s="20" t="n"/>
      <c r="D251" s="20" t="n"/>
      <c r="E251" s="20" t="n"/>
      <c r="F251" s="20" t="n"/>
      <c r="G251" s="20" t="n"/>
      <c r="H251" s="20" t="n"/>
      <c r="I251" s="20" t="n"/>
      <c r="J251" s="20" t="n"/>
      <c r="K251" s="11">
        <f>IF(OR(F251="",J251=""),"",IF(F251=J251,1,0))</f>
        <v/>
      </c>
    </row>
    <row r="252" ht="15" customHeight="1" s="12">
      <c r="A252" s="20" t="n"/>
      <c r="B252" s="20" t="n"/>
      <c r="C252" s="20" t="n"/>
      <c r="D252" s="20" t="n"/>
      <c r="E252" s="20" t="n"/>
      <c r="F252" s="20" t="n"/>
      <c r="G252" s="20" t="n"/>
      <c r="H252" s="20" t="n"/>
      <c r="I252" s="20" t="n"/>
      <c r="J252" s="20" t="n"/>
      <c r="K252" s="11">
        <f>IF(OR(F252="",J252=""),"",IF(F252=J252,1,0))</f>
        <v/>
      </c>
    </row>
    <row r="253" ht="15" customHeight="1" s="12">
      <c r="A253" s="20" t="n"/>
      <c r="B253" s="20" t="n"/>
      <c r="C253" s="20" t="n"/>
      <c r="D253" s="20" t="n"/>
      <c r="E253" s="20" t="n"/>
      <c r="F253" s="20" t="n"/>
      <c r="G253" s="20" t="n"/>
      <c r="H253" s="20" t="n"/>
      <c r="I253" s="20" t="n"/>
      <c r="J253" s="20" t="n"/>
      <c r="K253" s="11">
        <f>IF(OR(F253="",J253=""),"",IF(F253=J253,1,0))</f>
        <v/>
      </c>
    </row>
    <row r="254" ht="15" customHeight="1" s="12">
      <c r="A254" s="20" t="n"/>
      <c r="B254" s="20" t="n"/>
      <c r="C254" s="20" t="n"/>
      <c r="D254" s="20" t="n"/>
      <c r="E254" s="20" t="n"/>
      <c r="F254" s="20" t="n"/>
      <c r="G254" s="20" t="n"/>
      <c r="H254" s="20" t="n"/>
      <c r="I254" s="20" t="n"/>
      <c r="J254" s="20" t="n"/>
      <c r="K254" s="11">
        <f>IF(OR(F254="",J254=""),"",IF(F254=J254,1,0))</f>
        <v/>
      </c>
    </row>
    <row r="255" ht="15" customHeight="1" s="12">
      <c r="A255" s="20" t="n"/>
      <c r="B255" s="20" t="n"/>
      <c r="C255" s="20" t="n"/>
      <c r="D255" s="20" t="n"/>
      <c r="E255" s="20" t="n"/>
      <c r="F255" s="20" t="n"/>
      <c r="G255" s="20" t="n"/>
      <c r="H255" s="20" t="n"/>
      <c r="I255" s="20" t="n"/>
      <c r="J255" s="20" t="n"/>
      <c r="K255" s="11">
        <f>IF(OR(F255="",J255=""),"",IF(F255=J255,1,0))</f>
        <v/>
      </c>
    </row>
    <row r="256" ht="15" customHeight="1" s="12">
      <c r="A256" s="20" t="n"/>
      <c r="B256" s="20" t="n"/>
      <c r="C256" s="20" t="n"/>
      <c r="D256" s="20" t="n"/>
      <c r="E256" s="20" t="n"/>
      <c r="F256" s="20" t="n"/>
      <c r="G256" s="20" t="n"/>
      <c r="H256" s="20" t="n"/>
      <c r="I256" s="20" t="n"/>
      <c r="J256" s="20" t="n"/>
      <c r="K256" s="11">
        <f>IF(OR(F256="",J256=""),"",IF(F256=J256,1,0))</f>
        <v/>
      </c>
    </row>
    <row r="257" ht="15" customHeight="1" s="12">
      <c r="A257" s="20" t="n"/>
      <c r="B257" s="20" t="n"/>
      <c r="C257" s="20" t="n"/>
      <c r="D257" s="20" t="n"/>
      <c r="E257" s="20" t="n"/>
      <c r="F257" s="20" t="n"/>
      <c r="G257" s="20" t="n"/>
      <c r="H257" s="20" t="n"/>
      <c r="I257" s="20" t="n"/>
      <c r="J257" s="20" t="n"/>
      <c r="K257" s="11">
        <f>IF(OR(F257="",J257=""),"",IF(F257=J257,1,0))</f>
        <v/>
      </c>
    </row>
    <row r="258" ht="15" customHeight="1" s="12">
      <c r="A258" s="20" t="n"/>
      <c r="B258" s="20" t="n"/>
      <c r="C258" s="20" t="n"/>
      <c r="D258" s="20" t="n"/>
      <c r="E258" s="20" t="n"/>
      <c r="F258" s="20" t="n"/>
      <c r="G258" s="20" t="n"/>
      <c r="H258" s="20" t="n"/>
      <c r="I258" s="20" t="n"/>
      <c r="J258" s="20" t="n"/>
      <c r="K258" s="11">
        <f>IF(OR(F258="",J258=""),"",IF(F258=J258,1,0))</f>
        <v/>
      </c>
    </row>
    <row r="259" ht="15" customHeight="1" s="12">
      <c r="A259" s="20" t="n"/>
      <c r="B259" s="20" t="n"/>
      <c r="C259" s="20" t="n"/>
      <c r="D259" s="20" t="n"/>
      <c r="E259" s="20" t="n"/>
      <c r="F259" s="20" t="n"/>
      <c r="G259" s="20" t="n"/>
      <c r="H259" s="20" t="n"/>
      <c r="I259" s="20" t="n"/>
      <c r="J259" s="20" t="n"/>
      <c r="K259" s="11">
        <f>IF(OR(F259="",J259=""),"",IF(F259=J259,1,0))</f>
        <v/>
      </c>
    </row>
    <row r="260" ht="15" customHeight="1" s="12">
      <c r="A260" s="20" t="n"/>
      <c r="B260" s="20" t="n"/>
      <c r="C260" s="20" t="n"/>
      <c r="D260" s="20" t="n"/>
      <c r="E260" s="20" t="n"/>
      <c r="F260" s="20" t="n"/>
      <c r="G260" s="20" t="n"/>
      <c r="H260" s="20" t="n"/>
      <c r="I260" s="20" t="n"/>
      <c r="J260" s="20" t="n"/>
      <c r="K260" s="11">
        <f>IF(OR(F260="",J260=""),"",IF(F260=J260,1,0))</f>
        <v/>
      </c>
    </row>
    <row r="261" ht="15" customHeight="1" s="12">
      <c r="A261" s="20" t="n"/>
      <c r="B261" s="20" t="n"/>
      <c r="C261" s="20" t="n"/>
      <c r="D261" s="20" t="n"/>
      <c r="E261" s="20" t="n"/>
      <c r="F261" s="20" t="n"/>
      <c r="G261" s="20" t="n"/>
      <c r="H261" s="20" t="n"/>
      <c r="I261" s="20" t="n"/>
      <c r="J261" s="20" t="n"/>
      <c r="K261" s="11">
        <f>IF(OR(F261="",J261=""),"",IF(F261=J261,1,0))</f>
        <v/>
      </c>
    </row>
    <row r="262" ht="15" customHeight="1" s="12">
      <c r="A262" s="20" t="n"/>
      <c r="B262" s="20" t="n"/>
      <c r="C262" s="20" t="n"/>
      <c r="D262" s="20" t="n"/>
      <c r="E262" s="20" t="n"/>
      <c r="F262" s="20" t="n"/>
      <c r="G262" s="20" t="n"/>
      <c r="H262" s="20" t="n"/>
      <c r="I262" s="20" t="n"/>
      <c r="J262" s="20" t="n"/>
      <c r="K262" s="11">
        <f>IF(OR(F262="",J262=""),"",IF(F262=J262,1,0))</f>
        <v/>
      </c>
    </row>
    <row r="263" ht="15" customHeight="1" s="12">
      <c r="A263" s="20" t="n"/>
      <c r="B263" s="20" t="n"/>
      <c r="C263" s="20" t="n"/>
      <c r="D263" s="20" t="n"/>
      <c r="E263" s="20" t="n"/>
      <c r="F263" s="20" t="n"/>
      <c r="G263" s="20" t="n"/>
      <c r="H263" s="20" t="n"/>
      <c r="I263" s="20" t="n"/>
      <c r="J263" s="20" t="n"/>
      <c r="K263" s="11">
        <f>IF(OR(F263="",J263=""),"",IF(F263=J263,1,0))</f>
        <v/>
      </c>
    </row>
    <row r="264" ht="15" customHeight="1" s="12">
      <c r="A264" s="20" t="n"/>
      <c r="B264" s="20" t="n"/>
      <c r="C264" s="20" t="n"/>
      <c r="D264" s="20" t="n"/>
      <c r="E264" s="20" t="n"/>
      <c r="F264" s="20" t="n"/>
      <c r="G264" s="20" t="n"/>
      <c r="H264" s="20" t="n"/>
      <c r="I264" s="20" t="n"/>
      <c r="J264" s="20" t="n"/>
      <c r="K264" s="11">
        <f>IF(OR(F264="",J264=""),"",IF(F264=J264,1,0))</f>
        <v/>
      </c>
    </row>
    <row r="265" ht="15" customHeight="1" s="12">
      <c r="A265" s="20" t="n"/>
      <c r="B265" s="20" t="n"/>
      <c r="C265" s="20" t="n"/>
      <c r="D265" s="20" t="n"/>
      <c r="E265" s="20" t="n"/>
      <c r="F265" s="20" t="n"/>
      <c r="G265" s="20" t="n"/>
      <c r="H265" s="20" t="n"/>
      <c r="I265" s="20" t="n"/>
      <c r="J265" s="20" t="n"/>
      <c r="K265" s="11">
        <f>IF(OR(F265="",J265=""),"",IF(F265=J265,1,0))</f>
        <v/>
      </c>
    </row>
    <row r="266" ht="15" customHeight="1" s="12">
      <c r="A266" s="20" t="n"/>
      <c r="B266" s="20" t="n"/>
      <c r="C266" s="20" t="n"/>
      <c r="D266" s="20" t="n"/>
      <c r="E266" s="20" t="n"/>
      <c r="F266" s="20" t="n"/>
      <c r="G266" s="20" t="n"/>
      <c r="H266" s="20" t="n"/>
      <c r="I266" s="20" t="n"/>
      <c r="J266" s="20" t="n"/>
      <c r="K266" s="11">
        <f>IF(OR(F266="",J266=""),"",IF(F266=J266,1,0))</f>
        <v/>
      </c>
    </row>
    <row r="267" ht="15" customHeight="1" s="12">
      <c r="A267" s="20" t="n"/>
      <c r="B267" s="20" t="n"/>
      <c r="C267" s="20" t="n"/>
      <c r="D267" s="20" t="n"/>
      <c r="E267" s="20" t="n"/>
      <c r="F267" s="20" t="n"/>
      <c r="G267" s="20" t="n"/>
      <c r="H267" s="20" t="n"/>
      <c r="I267" s="20" t="n"/>
      <c r="J267" s="20" t="n"/>
      <c r="K267" s="11">
        <f>IF(OR(F267="",J267=""),"",IF(F267=J267,1,0))</f>
        <v/>
      </c>
    </row>
    <row r="268" ht="15" customHeight="1" s="12">
      <c r="A268" s="20" t="n"/>
      <c r="B268" s="20" t="n"/>
      <c r="C268" s="20" t="n"/>
      <c r="D268" s="20" t="n"/>
      <c r="E268" s="20" t="n"/>
      <c r="F268" s="20" t="n"/>
      <c r="G268" s="20" t="n"/>
      <c r="H268" s="20" t="n"/>
      <c r="I268" s="20" t="n"/>
      <c r="J268" s="20" t="n"/>
      <c r="K268" s="11">
        <f>IF(OR(F268="",J268=""),"",IF(F268=J268,1,0))</f>
        <v/>
      </c>
    </row>
    <row r="269" ht="15" customHeight="1" s="12">
      <c r="A269" s="20" t="n"/>
      <c r="B269" s="20" t="n"/>
      <c r="C269" s="20" t="n"/>
      <c r="D269" s="20" t="n"/>
      <c r="E269" s="20" t="n"/>
      <c r="F269" s="20" t="n"/>
      <c r="G269" s="20" t="n"/>
      <c r="H269" s="20" t="n"/>
      <c r="I269" s="20" t="n"/>
      <c r="J269" s="20" t="n"/>
      <c r="K269" s="11">
        <f>IF(OR(F269="",J269=""),"",IF(F269=J269,1,0))</f>
        <v/>
      </c>
    </row>
    <row r="270" ht="15" customHeight="1" s="12">
      <c r="A270" s="20" t="n"/>
      <c r="B270" s="20" t="n"/>
      <c r="C270" s="20" t="n"/>
      <c r="D270" s="20" t="n"/>
      <c r="E270" s="20" t="n"/>
      <c r="F270" s="20" t="n"/>
      <c r="G270" s="20" t="n"/>
      <c r="H270" s="20" t="n"/>
      <c r="I270" s="20" t="n"/>
      <c r="J270" s="20" t="n"/>
      <c r="K270" s="11">
        <f>IF(OR(F270="",J270=""),"",IF(F270=J270,1,0))</f>
        <v/>
      </c>
    </row>
    <row r="271" ht="15" customHeight="1" s="12">
      <c r="A271" s="20" t="n"/>
      <c r="B271" s="20" t="n"/>
      <c r="C271" s="20" t="n"/>
      <c r="D271" s="20" t="n"/>
      <c r="E271" s="20" t="n"/>
      <c r="F271" s="20" t="n"/>
      <c r="G271" s="20" t="n"/>
      <c r="H271" s="20" t="n"/>
      <c r="I271" s="20" t="n"/>
      <c r="J271" s="20" t="n"/>
      <c r="K271" s="11">
        <f>IF(OR(F271="",J271=""),"",IF(F271=J271,1,0))</f>
        <v/>
      </c>
    </row>
    <row r="272" ht="15" customHeight="1" s="12">
      <c r="A272" s="20" t="n"/>
      <c r="B272" s="20" t="n"/>
      <c r="C272" s="20" t="n"/>
      <c r="D272" s="20" t="n"/>
      <c r="E272" s="20" t="n"/>
      <c r="F272" s="20" t="n"/>
      <c r="G272" s="20" t="n"/>
      <c r="H272" s="20" t="n"/>
      <c r="I272" s="20" t="n"/>
      <c r="J272" s="20" t="n"/>
      <c r="K272" s="11">
        <f>IF(OR(F272="",J272=""),"",IF(F272=J272,1,0))</f>
        <v/>
      </c>
    </row>
    <row r="273" ht="15" customHeight="1" s="12">
      <c r="A273" s="20" t="n"/>
      <c r="B273" s="20" t="n"/>
      <c r="C273" s="20" t="n"/>
      <c r="D273" s="20" t="n"/>
      <c r="E273" s="20" t="n"/>
      <c r="F273" s="20" t="n"/>
      <c r="G273" s="20" t="n"/>
      <c r="H273" s="20" t="n"/>
      <c r="I273" s="20" t="n"/>
      <c r="J273" s="20" t="n"/>
      <c r="K273" s="11">
        <f>IF(OR(F273="",J273=""),"",IF(F273=J273,1,0))</f>
        <v/>
      </c>
    </row>
    <row r="274" ht="15" customHeight="1" s="12">
      <c r="A274" s="20" t="n"/>
      <c r="B274" s="20" t="n"/>
      <c r="C274" s="20" t="n"/>
      <c r="D274" s="20" t="n"/>
      <c r="E274" s="20" t="n"/>
      <c r="F274" s="20" t="n"/>
      <c r="G274" s="20" t="n"/>
      <c r="H274" s="20" t="n"/>
      <c r="I274" s="20" t="n"/>
      <c r="J274" s="20" t="n"/>
      <c r="K274" s="11">
        <f>IF(OR(F274="",J274=""),"",IF(F274=J274,1,0))</f>
        <v/>
      </c>
    </row>
    <row r="275" ht="15" customHeight="1" s="12">
      <c r="A275" s="20" t="n"/>
      <c r="B275" s="20" t="n"/>
      <c r="C275" s="20" t="n"/>
      <c r="D275" s="20" t="n"/>
      <c r="E275" s="20" t="n"/>
      <c r="F275" s="20" t="n"/>
      <c r="G275" s="20" t="n"/>
      <c r="H275" s="20" t="n"/>
      <c r="I275" s="20" t="n"/>
      <c r="J275" s="20" t="n"/>
      <c r="K275" s="11">
        <f>IF(OR(F275="",J275=""),"",IF(F275=J275,1,0))</f>
        <v/>
      </c>
    </row>
    <row r="276" ht="15" customHeight="1" s="12">
      <c r="A276" s="20" t="n"/>
      <c r="B276" s="20" t="n"/>
      <c r="C276" s="20" t="n"/>
      <c r="D276" s="20" t="n"/>
      <c r="E276" s="20" t="n"/>
      <c r="F276" s="20" t="n"/>
      <c r="G276" s="20" t="n"/>
      <c r="H276" s="20" t="n"/>
      <c r="I276" s="20" t="n"/>
      <c r="J276" s="20" t="n"/>
      <c r="K276" s="11">
        <f>IF(OR(F276="",J276=""),"",IF(F276=J276,1,0))</f>
        <v/>
      </c>
    </row>
    <row r="277" ht="15" customHeight="1" s="12">
      <c r="A277" s="20" t="n"/>
      <c r="B277" s="20" t="n"/>
      <c r="C277" s="20" t="n"/>
      <c r="D277" s="20" t="n"/>
      <c r="E277" s="20" t="n"/>
      <c r="F277" s="20" t="n"/>
      <c r="G277" s="20" t="n"/>
      <c r="H277" s="20" t="n"/>
      <c r="I277" s="20" t="n"/>
      <c r="J277" s="20" t="n"/>
      <c r="K277" s="11">
        <f>IF(OR(F277="",J277=""),"",IF(F277=J277,1,0))</f>
        <v/>
      </c>
    </row>
    <row r="278" ht="15" customHeight="1" s="12">
      <c r="A278" s="20" t="n"/>
      <c r="B278" s="20" t="n"/>
      <c r="C278" s="20" t="n"/>
      <c r="D278" s="20" t="n"/>
      <c r="E278" s="20" t="n"/>
      <c r="F278" s="20" t="n"/>
      <c r="G278" s="20" t="n"/>
      <c r="H278" s="20" t="n"/>
      <c r="I278" s="20" t="n"/>
      <c r="J278" s="20" t="n"/>
      <c r="K278" s="11">
        <f>IF(OR(F278="",J278=""),"",IF(F278=J278,1,0))</f>
        <v/>
      </c>
    </row>
    <row r="279" ht="15" customHeight="1" s="12">
      <c r="A279" s="20" t="n"/>
      <c r="B279" s="20" t="n"/>
      <c r="C279" s="20" t="n"/>
      <c r="D279" s="20" t="n"/>
      <c r="E279" s="20" t="n"/>
      <c r="F279" s="20" t="n"/>
      <c r="G279" s="20" t="n"/>
      <c r="H279" s="20" t="n"/>
      <c r="I279" s="20" t="n"/>
      <c r="J279" s="20" t="n"/>
      <c r="K279" s="11">
        <f>IF(OR(F279="",J279=""),"",IF(F279=J279,1,0))</f>
        <v/>
      </c>
    </row>
    <row r="280" ht="15" customHeight="1" s="12">
      <c r="A280" s="20" t="n"/>
      <c r="B280" s="20" t="n"/>
      <c r="C280" s="20" t="n"/>
      <c r="D280" s="20" t="n"/>
      <c r="E280" s="20" t="n"/>
      <c r="F280" s="20" t="n"/>
      <c r="G280" s="20" t="n"/>
      <c r="H280" s="20" t="n"/>
      <c r="I280" s="20" t="n"/>
      <c r="J280" s="20" t="n"/>
      <c r="K280" s="11">
        <f>IF(OR(F280="",J280=""),"",IF(F280=J280,1,0))</f>
        <v/>
      </c>
    </row>
    <row r="281" ht="15" customHeight="1" s="12">
      <c r="A281" s="20" t="n"/>
      <c r="B281" s="20" t="n"/>
      <c r="C281" s="20" t="n"/>
      <c r="D281" s="20" t="n"/>
      <c r="E281" s="20" t="n"/>
      <c r="F281" s="20" t="n"/>
      <c r="G281" s="20" t="n"/>
      <c r="H281" s="20" t="n"/>
      <c r="I281" s="20" t="n"/>
      <c r="J281" s="20" t="n"/>
      <c r="K281" s="11">
        <f>IF(OR(F281="",J281=""),"",IF(F281=J281,1,0))</f>
        <v/>
      </c>
    </row>
    <row r="282" ht="15" customHeight="1" s="12">
      <c r="A282" s="20" t="n"/>
      <c r="B282" s="20" t="n"/>
      <c r="C282" s="20" t="n"/>
      <c r="D282" s="20" t="n"/>
      <c r="E282" s="20" t="n"/>
      <c r="F282" s="20" t="n"/>
      <c r="G282" s="20" t="n"/>
      <c r="H282" s="20" t="n"/>
      <c r="I282" s="20" t="n"/>
      <c r="J282" s="20" t="n"/>
      <c r="K282" s="11">
        <f>IF(OR(F282="",J282=""),"",IF(F282=J282,1,0))</f>
        <v/>
      </c>
    </row>
    <row r="283" ht="15" customHeight="1" s="12">
      <c r="A283" s="20" t="n"/>
      <c r="B283" s="20" t="n"/>
      <c r="C283" s="20" t="n"/>
      <c r="D283" s="20" t="n"/>
      <c r="E283" s="20" t="n"/>
      <c r="F283" s="20" t="n"/>
      <c r="G283" s="20" t="n"/>
      <c r="H283" s="20" t="n"/>
      <c r="I283" s="20" t="n"/>
      <c r="J283" s="20" t="n"/>
      <c r="K283" s="11">
        <f>IF(OR(F283="",J283=""),"",IF(F283=J283,1,0))</f>
        <v/>
      </c>
    </row>
    <row r="284" ht="15" customHeight="1" s="12">
      <c r="A284" s="20" t="n"/>
      <c r="B284" s="20" t="n"/>
      <c r="C284" s="20" t="n"/>
      <c r="D284" s="20" t="n"/>
      <c r="E284" s="20" t="n"/>
      <c r="F284" s="20" t="n"/>
      <c r="G284" s="20" t="n"/>
      <c r="H284" s="20" t="n"/>
      <c r="I284" s="20" t="n"/>
      <c r="J284" s="20" t="n"/>
      <c r="K284" s="11">
        <f>IF(OR(F284="",J284=""),"",IF(F284=J284,1,0))</f>
        <v/>
      </c>
    </row>
    <row r="285" ht="15" customHeight="1" s="12">
      <c r="A285" s="20" t="n"/>
      <c r="B285" s="20" t="n"/>
      <c r="C285" s="20" t="n"/>
      <c r="D285" s="20" t="n"/>
      <c r="E285" s="20" t="n"/>
      <c r="F285" s="20" t="n"/>
      <c r="G285" s="20" t="n"/>
      <c r="H285" s="20" t="n"/>
      <c r="I285" s="20" t="n"/>
      <c r="J285" s="20" t="n"/>
      <c r="K285" s="11">
        <f>IF(OR(F285="",J285=""),"",IF(F285=J285,1,0))</f>
        <v/>
      </c>
    </row>
    <row r="286" ht="15" customHeight="1" s="12">
      <c r="A286" s="20" t="n"/>
      <c r="B286" s="20" t="n"/>
      <c r="C286" s="20" t="n"/>
      <c r="D286" s="20" t="n"/>
      <c r="E286" s="20" t="n"/>
      <c r="F286" s="20" t="n"/>
      <c r="G286" s="20" t="n"/>
      <c r="H286" s="20" t="n"/>
      <c r="I286" s="20" t="n"/>
      <c r="J286" s="20" t="n"/>
      <c r="K286" s="11">
        <f>IF(OR(F286="",J286=""),"",IF(F286=J286,1,0))</f>
        <v/>
      </c>
    </row>
    <row r="287" ht="15" customHeight="1" s="12">
      <c r="A287" s="20" t="n"/>
      <c r="B287" s="20" t="n"/>
      <c r="C287" s="20" t="n"/>
      <c r="D287" s="20" t="n"/>
      <c r="E287" s="20" t="n"/>
      <c r="F287" s="20" t="n"/>
      <c r="G287" s="20" t="n"/>
      <c r="H287" s="20" t="n"/>
      <c r="I287" s="20" t="n"/>
      <c r="J287" s="20" t="n"/>
      <c r="K287" s="11">
        <f>IF(OR(F287="",J287=""),"",IF(F287=J287,1,0))</f>
        <v/>
      </c>
    </row>
    <row r="288" ht="15" customHeight="1" s="12">
      <c r="A288" s="20" t="n"/>
      <c r="B288" s="20" t="n"/>
      <c r="C288" s="20" t="n"/>
      <c r="D288" s="20" t="n"/>
      <c r="E288" s="20" t="n"/>
      <c r="F288" s="20" t="n"/>
      <c r="G288" s="20" t="n"/>
      <c r="H288" s="20" t="n"/>
      <c r="I288" s="20" t="n"/>
      <c r="J288" s="20" t="n"/>
      <c r="K288" s="11">
        <f>IF(OR(F288="",J288=""),"",IF(F288=J288,1,0))</f>
        <v/>
      </c>
    </row>
    <row r="289" ht="15" customHeight="1" s="12">
      <c r="A289" s="20" t="n"/>
      <c r="B289" s="20" t="n"/>
      <c r="C289" s="20" t="n"/>
      <c r="D289" s="20" t="n"/>
      <c r="E289" s="20" t="n"/>
      <c r="F289" s="20" t="n"/>
      <c r="G289" s="20" t="n"/>
      <c r="H289" s="20" t="n"/>
      <c r="I289" s="20" t="n"/>
      <c r="J289" s="20" t="n"/>
      <c r="K289" s="11">
        <f>IF(OR(F289="",J289=""),"",IF(F289=J289,1,0))</f>
        <v/>
      </c>
    </row>
    <row r="290" ht="15" customHeight="1" s="12">
      <c r="A290" s="20" t="n"/>
      <c r="B290" s="20" t="n"/>
      <c r="C290" s="20" t="n"/>
      <c r="D290" s="20" t="n"/>
      <c r="E290" s="20" t="n"/>
      <c r="F290" s="20" t="n"/>
      <c r="G290" s="20" t="n"/>
      <c r="H290" s="20" t="n"/>
      <c r="I290" s="20" t="n"/>
      <c r="J290" s="20" t="n"/>
      <c r="K290" s="11">
        <f>IF(OR(F290="",J290=""),"",IF(F290=J290,1,0))</f>
        <v/>
      </c>
    </row>
    <row r="291" ht="15" customHeight="1" s="12">
      <c r="A291" s="20" t="n"/>
      <c r="B291" s="20" t="n"/>
      <c r="C291" s="20" t="n"/>
      <c r="D291" s="20" t="n"/>
      <c r="E291" s="20" t="n"/>
      <c r="F291" s="20" t="n"/>
      <c r="G291" s="20" t="n"/>
      <c r="H291" s="20" t="n"/>
      <c r="I291" s="20" t="n"/>
      <c r="J291" s="20" t="n"/>
      <c r="K291" s="11">
        <f>IF(OR(F291="",J291=""),"",IF(F291=J291,1,0))</f>
        <v/>
      </c>
    </row>
    <row r="292" ht="15" customHeight="1" s="12">
      <c r="A292" s="20" t="n"/>
      <c r="B292" s="20" t="n"/>
      <c r="C292" s="20" t="n"/>
      <c r="D292" s="20" t="n"/>
      <c r="E292" s="20" t="n"/>
      <c r="F292" s="20" t="n"/>
      <c r="G292" s="20" t="n"/>
      <c r="H292" s="20" t="n"/>
      <c r="I292" s="20" t="n"/>
      <c r="J292" s="20" t="n"/>
      <c r="K292" s="11">
        <f>IF(OR(F292="",J292=""),"",IF(F292=J292,1,0))</f>
        <v/>
      </c>
    </row>
    <row r="293" ht="15" customHeight="1" s="12">
      <c r="A293" s="20" t="n"/>
      <c r="B293" s="20" t="n"/>
      <c r="C293" s="20" t="n"/>
      <c r="D293" s="20" t="n"/>
      <c r="E293" s="20" t="n"/>
      <c r="F293" s="20" t="n"/>
      <c r="G293" s="20" t="n"/>
      <c r="H293" s="20" t="n"/>
      <c r="I293" s="20" t="n"/>
      <c r="J293" s="20" t="n"/>
      <c r="K293" s="11">
        <f>IF(OR(F293="",J293=""),"",IF(F293=J293,1,0))</f>
        <v/>
      </c>
    </row>
    <row r="294" ht="15" customHeight="1" s="12">
      <c r="A294" s="20" t="n"/>
      <c r="B294" s="20" t="n"/>
      <c r="C294" s="20" t="n"/>
      <c r="D294" s="20" t="n"/>
      <c r="E294" s="20" t="n"/>
      <c r="F294" s="20" t="n"/>
      <c r="G294" s="20" t="n"/>
      <c r="H294" s="20" t="n"/>
      <c r="I294" s="20" t="n"/>
      <c r="J294" s="20" t="n"/>
      <c r="K294" s="11">
        <f>IF(OR(F294="",J294=""),"",IF(F294=J294,1,0))</f>
        <v/>
      </c>
    </row>
    <row r="295" ht="15" customHeight="1" s="12">
      <c r="A295" s="20" t="n"/>
      <c r="B295" s="20" t="n"/>
      <c r="C295" s="20" t="n"/>
      <c r="D295" s="20" t="n"/>
      <c r="E295" s="20" t="n"/>
      <c r="F295" s="20" t="n"/>
      <c r="G295" s="20" t="n"/>
      <c r="H295" s="20" t="n"/>
      <c r="I295" s="20" t="n"/>
      <c r="J295" s="20" t="n"/>
      <c r="K295" s="11">
        <f>IF(OR(F295="",J295=""),"",IF(F295=J295,1,0))</f>
        <v/>
      </c>
    </row>
    <row r="296" ht="15" customHeight="1" s="12">
      <c r="A296" s="20" t="n"/>
      <c r="B296" s="20" t="n"/>
      <c r="C296" s="20" t="n"/>
      <c r="D296" s="20" t="n"/>
      <c r="E296" s="20" t="n"/>
      <c r="F296" s="20" t="n"/>
      <c r="G296" s="20" t="n"/>
      <c r="H296" s="20" t="n"/>
      <c r="I296" s="20" t="n"/>
      <c r="J296" s="20" t="n"/>
      <c r="K296" s="11">
        <f>IF(OR(F296="",J296=""),"",IF(F296=J296,1,0))</f>
        <v/>
      </c>
    </row>
    <row r="297" ht="15" customHeight="1" s="12">
      <c r="A297" s="20" t="n"/>
      <c r="B297" s="20" t="n"/>
      <c r="C297" s="20" t="n"/>
      <c r="D297" s="20" t="n"/>
      <c r="E297" s="20" t="n"/>
      <c r="F297" s="20" t="n"/>
      <c r="G297" s="20" t="n"/>
      <c r="H297" s="20" t="n"/>
      <c r="I297" s="20" t="n"/>
      <c r="J297" s="20" t="n"/>
      <c r="K297" s="11">
        <f>IF(OR(F297="",J297=""),"",IF(F297=J297,1,0))</f>
        <v/>
      </c>
    </row>
    <row r="298" ht="15" customHeight="1" s="12">
      <c r="A298" s="20" t="n"/>
      <c r="B298" s="20" t="n"/>
      <c r="C298" s="20" t="n"/>
      <c r="D298" s="20" t="n"/>
      <c r="E298" s="20" t="n"/>
      <c r="F298" s="20" t="n"/>
      <c r="G298" s="20" t="n"/>
      <c r="H298" s="20" t="n"/>
      <c r="I298" s="20" t="n"/>
      <c r="J298" s="20" t="n"/>
      <c r="K298" s="11">
        <f>IF(OR(F298="",J298=""),"",IF(F298=J298,1,0))</f>
        <v/>
      </c>
    </row>
    <row r="299" ht="15" customHeight="1" s="12">
      <c r="A299" s="20" t="n"/>
      <c r="B299" s="20" t="n"/>
      <c r="C299" s="20" t="n"/>
      <c r="D299" s="20" t="n"/>
      <c r="E299" s="20" t="n"/>
      <c r="F299" s="20" t="n"/>
      <c r="G299" s="20" t="n"/>
      <c r="H299" s="20" t="n"/>
      <c r="I299" s="20" t="n"/>
      <c r="J299" s="20" t="n"/>
      <c r="K299" s="11">
        <f>IF(OR(F299="",J299=""),"",IF(F299=J299,1,0))</f>
        <v/>
      </c>
    </row>
    <row r="300" ht="15" customHeight="1" s="12">
      <c r="A300" s="20" t="n"/>
      <c r="B300" s="20" t="n"/>
      <c r="C300" s="20" t="n"/>
      <c r="D300" s="20" t="n"/>
      <c r="E300" s="20" t="n"/>
      <c r="F300" s="20" t="n"/>
      <c r="G300" s="20" t="n"/>
      <c r="H300" s="20" t="n"/>
      <c r="I300" s="20" t="n"/>
      <c r="J300" s="20" t="n"/>
      <c r="K300" s="11">
        <f>IF(OR(F300="",J300=""),"",IF(F300=J300,1,0))</f>
        <v/>
      </c>
    </row>
    <row r="301" ht="15" customHeight="1" s="12">
      <c r="A301" s="20" t="n"/>
      <c r="B301" s="20" t="n"/>
      <c r="C301" s="20" t="n"/>
      <c r="D301" s="20" t="n"/>
      <c r="E301" s="20" t="n"/>
      <c r="F301" s="20" t="n"/>
      <c r="G301" s="20" t="n"/>
      <c r="H301" s="20" t="n"/>
      <c r="I301" s="20" t="n"/>
      <c r="J301" s="20" t="n"/>
      <c r="K301" s="11">
        <f>IF(OR(F301="",J301=""),"",IF(F301=J301,1,0))</f>
        <v/>
      </c>
    </row>
    <row r="302" ht="15" customHeight="1" s="12">
      <c r="A302" s="20" t="n"/>
      <c r="B302" s="20" t="n"/>
      <c r="C302" s="20" t="n"/>
      <c r="D302" s="20" t="n"/>
      <c r="E302" s="20" t="n"/>
      <c r="F302" s="20" t="n"/>
      <c r="G302" s="20" t="n"/>
      <c r="H302" s="20" t="n"/>
      <c r="I302" s="20" t="n"/>
      <c r="J302" s="20" t="n"/>
      <c r="K302" s="11">
        <f>IF(OR(F302="",J302=""),"",IF(F302=J302,1,0))</f>
        <v/>
      </c>
    </row>
    <row r="303" ht="15" customHeight="1" s="12">
      <c r="A303" s="20" t="n"/>
      <c r="B303" s="20" t="n"/>
      <c r="C303" s="20" t="n"/>
      <c r="D303" s="20" t="n"/>
      <c r="E303" s="20" t="n"/>
      <c r="F303" s="20" t="n"/>
      <c r="G303" s="20" t="n"/>
      <c r="H303" s="20" t="n"/>
      <c r="I303" s="20" t="n"/>
      <c r="J303" s="20" t="n"/>
      <c r="K303" s="11">
        <f>IF(OR(F303="",J303=""),"",IF(F303=J303,1,0))</f>
        <v/>
      </c>
    </row>
    <row r="304" ht="15" customHeight="1" s="12">
      <c r="A304" s="20" t="n"/>
      <c r="B304" s="20" t="n"/>
      <c r="C304" s="20" t="n"/>
      <c r="D304" s="20" t="n"/>
      <c r="E304" s="20" t="n"/>
      <c r="F304" s="20" t="n"/>
      <c r="G304" s="20" t="n"/>
      <c r="H304" s="20" t="n"/>
      <c r="I304" s="20" t="n"/>
      <c r="J304" s="20" t="n"/>
      <c r="K304" s="11">
        <f>IF(OR(F304="",J304=""),"",IF(F304=J304,1,0))</f>
        <v/>
      </c>
    </row>
    <row r="305" ht="15" customHeight="1" s="12">
      <c r="A305" s="20" t="n"/>
      <c r="B305" s="20" t="n"/>
      <c r="C305" s="20" t="n"/>
      <c r="D305" s="20" t="n"/>
      <c r="E305" s="20" t="n"/>
      <c r="F305" s="20" t="n"/>
      <c r="G305" s="20" t="n"/>
      <c r="H305" s="20" t="n"/>
      <c r="I305" s="20" t="n"/>
      <c r="J305" s="20" t="n"/>
      <c r="K305" s="11">
        <f>IF(OR(F305="",J305=""),"",IF(F305=J305,1,0))</f>
        <v/>
      </c>
    </row>
    <row r="306" ht="15" customHeight="1" s="12">
      <c r="A306" s="20" t="n"/>
      <c r="B306" s="20" t="n"/>
      <c r="C306" s="20" t="n"/>
      <c r="D306" s="20" t="n"/>
      <c r="E306" s="20" t="n"/>
      <c r="F306" s="20" t="n"/>
      <c r="G306" s="20" t="n"/>
      <c r="H306" s="20" t="n"/>
      <c r="I306" s="20" t="n"/>
      <c r="J306" s="20" t="n"/>
      <c r="K306" s="11">
        <f>IF(OR(F306="",J306=""),"",IF(F306=J306,1,0))</f>
        <v/>
      </c>
    </row>
    <row r="307" ht="15" customHeight="1" s="12">
      <c r="A307" s="20" t="n"/>
      <c r="B307" s="20" t="n"/>
      <c r="C307" s="20" t="n"/>
      <c r="D307" s="20" t="n"/>
      <c r="E307" s="20" t="n"/>
      <c r="F307" s="20" t="n"/>
      <c r="G307" s="20" t="n"/>
      <c r="H307" s="20" t="n"/>
      <c r="I307" s="20" t="n"/>
      <c r="J307" s="20" t="n"/>
      <c r="K307" s="11">
        <f>IF(OR(F307="",J307=""),"",IF(F307=J307,1,0))</f>
        <v/>
      </c>
    </row>
    <row r="308" ht="15" customHeight="1" s="12">
      <c r="A308" s="20" t="n"/>
      <c r="B308" s="20" t="n"/>
      <c r="C308" s="20" t="n"/>
      <c r="D308" s="20" t="n"/>
      <c r="E308" s="20" t="n"/>
      <c r="F308" s="20" t="n"/>
      <c r="G308" s="20" t="n"/>
      <c r="H308" s="20" t="n"/>
      <c r="I308" s="20" t="n"/>
      <c r="J308" s="20" t="n"/>
      <c r="K308" s="11">
        <f>IF(OR(F308="",J308=""),"",IF(F308=J308,1,0))</f>
        <v/>
      </c>
    </row>
    <row r="309" ht="15" customHeight="1" s="12">
      <c r="A309" s="20" t="n"/>
      <c r="B309" s="20" t="n"/>
      <c r="C309" s="20" t="n"/>
      <c r="D309" s="20" t="n"/>
      <c r="E309" s="20" t="n"/>
      <c r="F309" s="20" t="n"/>
      <c r="G309" s="20" t="n"/>
      <c r="H309" s="20" t="n"/>
      <c r="I309" s="20" t="n"/>
      <c r="J309" s="20" t="n"/>
      <c r="K309" s="11">
        <f>IF(OR(F309="",J309=""),"",IF(F309=J309,1,0))</f>
        <v/>
      </c>
    </row>
    <row r="310" ht="15" customHeight="1" s="12">
      <c r="A310" s="20" t="n"/>
      <c r="B310" s="20" t="n"/>
      <c r="C310" s="20" t="n"/>
      <c r="D310" s="20" t="n"/>
      <c r="E310" s="20" t="n"/>
      <c r="F310" s="20" t="n"/>
      <c r="G310" s="20" t="n"/>
      <c r="H310" s="20" t="n"/>
      <c r="I310" s="20" t="n"/>
      <c r="J310" s="20" t="n"/>
      <c r="K310" s="11">
        <f>IF(OR(F310="",J310=""),"",IF(F310=J310,1,0))</f>
        <v/>
      </c>
    </row>
    <row r="311" ht="15" customHeight="1" s="12">
      <c r="A311" s="20" t="n"/>
      <c r="B311" s="20" t="n"/>
      <c r="C311" s="20" t="n"/>
      <c r="D311" s="20" t="n"/>
      <c r="E311" s="20" t="n"/>
      <c r="F311" s="20" t="n"/>
      <c r="G311" s="20" t="n"/>
      <c r="H311" s="20" t="n"/>
      <c r="I311" s="20" t="n"/>
      <c r="J311" s="20" t="n"/>
      <c r="K311" s="11">
        <f>IF(OR(F311="",J311=""),"",IF(F311=J311,1,0))</f>
        <v/>
      </c>
    </row>
    <row r="312" ht="15" customHeight="1" s="12">
      <c r="A312" s="20" t="n"/>
      <c r="B312" s="20" t="n"/>
      <c r="C312" s="20" t="n"/>
      <c r="D312" s="20" t="n"/>
      <c r="E312" s="20" t="n"/>
      <c r="F312" s="20" t="n"/>
      <c r="G312" s="20" t="n"/>
      <c r="H312" s="20" t="n"/>
      <c r="I312" s="20" t="n"/>
      <c r="J312" s="20" t="n"/>
      <c r="K312" s="11">
        <f>IF(OR(F312="",J312=""),"",IF(F312=J312,1,0))</f>
        <v/>
      </c>
    </row>
    <row r="313" ht="15" customHeight="1" s="12">
      <c r="A313" s="20" t="n"/>
      <c r="B313" s="20" t="n"/>
      <c r="C313" s="20" t="n"/>
      <c r="D313" s="20" t="n"/>
      <c r="E313" s="20" t="n"/>
      <c r="F313" s="20" t="n"/>
      <c r="G313" s="20" t="n"/>
      <c r="H313" s="20" t="n"/>
      <c r="I313" s="20" t="n"/>
      <c r="J313" s="20" t="n"/>
      <c r="K313" s="11">
        <f>IF(OR(F313="",J313=""),"",IF(F313=J313,1,0))</f>
        <v/>
      </c>
    </row>
    <row r="314" ht="15" customHeight="1" s="12">
      <c r="A314" s="20" t="n"/>
      <c r="B314" s="20" t="n"/>
      <c r="C314" s="20" t="n"/>
      <c r="D314" s="20" t="n"/>
      <c r="E314" s="20" t="n"/>
      <c r="F314" s="20" t="n"/>
      <c r="G314" s="20" t="n"/>
      <c r="H314" s="20" t="n"/>
      <c r="I314" s="20" t="n"/>
      <c r="J314" s="20" t="n"/>
      <c r="K314" s="11">
        <f>IF(OR(F314="",J314=""),"",IF(F314=J314,1,0))</f>
        <v/>
      </c>
    </row>
    <row r="315" ht="15" customHeight="1" s="12">
      <c r="A315" s="20" t="n"/>
      <c r="B315" s="20" t="n"/>
      <c r="C315" s="20" t="n"/>
      <c r="D315" s="20" t="n"/>
      <c r="E315" s="20" t="n"/>
      <c r="F315" s="20" t="n"/>
      <c r="G315" s="20" t="n"/>
      <c r="H315" s="20" t="n"/>
      <c r="I315" s="20" t="n"/>
      <c r="J315" s="20" t="n"/>
      <c r="K315" s="11">
        <f>IF(OR(F315="",J315=""),"",IF(F315=J315,1,0))</f>
        <v/>
      </c>
    </row>
    <row r="316" ht="15" customHeight="1" s="12">
      <c r="A316" s="20" t="n"/>
      <c r="B316" s="20" t="n"/>
      <c r="C316" s="20" t="n"/>
      <c r="D316" s="20" t="n"/>
      <c r="E316" s="20" t="n"/>
      <c r="F316" s="20" t="n"/>
      <c r="G316" s="20" t="n"/>
      <c r="H316" s="20" t="n"/>
      <c r="I316" s="20" t="n"/>
      <c r="J316" s="20" t="n"/>
      <c r="K316" s="11">
        <f>IF(OR(F316="",J316=""),"",IF(F316=J316,1,0))</f>
        <v/>
      </c>
    </row>
    <row r="317" ht="15" customHeight="1" s="12">
      <c r="A317" s="20" t="n"/>
      <c r="B317" s="20" t="n"/>
      <c r="C317" s="20" t="n"/>
      <c r="D317" s="20" t="n"/>
      <c r="E317" s="20" t="n"/>
      <c r="F317" s="20" t="n"/>
      <c r="G317" s="20" t="n"/>
      <c r="H317" s="20" t="n"/>
      <c r="I317" s="20" t="n"/>
      <c r="J317" s="20" t="n"/>
      <c r="K317" s="11">
        <f>IF(OR(F317="",J317=""),"",IF(F317=J317,1,0))</f>
        <v/>
      </c>
    </row>
    <row r="318" ht="15" customHeight="1" s="12">
      <c r="A318" s="20" t="n"/>
      <c r="B318" s="20" t="n"/>
      <c r="C318" s="20" t="n"/>
      <c r="D318" s="20" t="n"/>
      <c r="E318" s="20" t="n"/>
      <c r="F318" s="20" t="n"/>
      <c r="G318" s="20" t="n"/>
      <c r="H318" s="20" t="n"/>
      <c r="I318" s="20" t="n"/>
      <c r="J318" s="20" t="n"/>
      <c r="K318" s="11">
        <f>IF(OR(F318="",J318=""),"",IF(F318=J318,1,0))</f>
        <v/>
      </c>
    </row>
    <row r="319" ht="15" customHeight="1" s="12">
      <c r="A319" s="20" t="n"/>
      <c r="B319" s="20" t="n"/>
      <c r="C319" s="20" t="n"/>
      <c r="D319" s="20" t="n"/>
      <c r="E319" s="20" t="n"/>
      <c r="F319" s="20" t="n"/>
      <c r="G319" s="20" t="n"/>
      <c r="H319" s="20" t="n"/>
      <c r="I319" s="20" t="n"/>
      <c r="J319" s="20" t="n"/>
      <c r="K319" s="11">
        <f>IF(OR(F319="",J319=""),"",IF(F319=J319,1,0))</f>
        <v/>
      </c>
    </row>
    <row r="320" ht="15" customHeight="1" s="12">
      <c r="A320" s="20" t="n"/>
      <c r="B320" s="20" t="n"/>
      <c r="C320" s="20" t="n"/>
      <c r="D320" s="20" t="n"/>
      <c r="E320" s="20" t="n"/>
      <c r="F320" s="20" t="n"/>
      <c r="G320" s="20" t="n"/>
      <c r="H320" s="20" t="n"/>
      <c r="I320" s="20" t="n"/>
      <c r="J320" s="20" t="n"/>
      <c r="K320" s="11">
        <f>IF(OR(F320="",J320=""),"",IF(F320=J320,1,0))</f>
        <v/>
      </c>
    </row>
    <row r="321" ht="15" customHeight="1" s="12">
      <c r="A321" s="20" t="n"/>
      <c r="B321" s="20" t="n"/>
      <c r="C321" s="20" t="n"/>
      <c r="D321" s="20" t="n"/>
      <c r="E321" s="20" t="n"/>
      <c r="F321" s="20" t="n"/>
      <c r="G321" s="20" t="n"/>
      <c r="H321" s="20" t="n"/>
      <c r="I321" s="20" t="n"/>
      <c r="J321" s="20" t="n"/>
      <c r="K321" s="11">
        <f>IF(OR(F321="",J321=""),"",IF(F321=J321,1,0))</f>
        <v/>
      </c>
    </row>
    <row r="322" ht="15" customHeight="1" s="12">
      <c r="A322" s="20" t="n"/>
      <c r="B322" s="20" t="n"/>
      <c r="C322" s="20" t="n"/>
      <c r="D322" s="20" t="n"/>
      <c r="E322" s="20" t="n"/>
      <c r="F322" s="20" t="n"/>
      <c r="G322" s="20" t="n"/>
      <c r="H322" s="20" t="n"/>
      <c r="I322" s="20" t="n"/>
      <c r="J322" s="20" t="n"/>
      <c r="K322" s="11">
        <f>IF(OR(F322="",J322=""),"",IF(F322=J322,1,0))</f>
        <v/>
      </c>
    </row>
    <row r="323" ht="15" customHeight="1" s="12">
      <c r="A323" s="20" t="n"/>
      <c r="B323" s="20" t="n"/>
      <c r="C323" s="20" t="n"/>
      <c r="D323" s="20" t="n"/>
      <c r="E323" s="20" t="n"/>
      <c r="F323" s="20" t="n"/>
      <c r="G323" s="20" t="n"/>
      <c r="H323" s="20" t="n"/>
      <c r="I323" s="20" t="n"/>
      <c r="J323" s="20" t="n"/>
      <c r="K323" s="11">
        <f>IF(OR(F323="",J323=""),"",IF(F323=J323,1,0))</f>
        <v/>
      </c>
    </row>
    <row r="324" ht="15" customHeight="1" s="12">
      <c r="A324" s="20" t="n"/>
      <c r="B324" s="20" t="n"/>
      <c r="C324" s="20" t="n"/>
      <c r="D324" s="20" t="n"/>
      <c r="E324" s="20" t="n"/>
      <c r="F324" s="20" t="n"/>
      <c r="G324" s="20" t="n"/>
      <c r="H324" s="20" t="n"/>
      <c r="I324" s="20" t="n"/>
      <c r="J324" s="20" t="n"/>
      <c r="K324" s="11">
        <f>IF(OR(F324="",J324=""),"",IF(F324=J324,1,0))</f>
        <v/>
      </c>
    </row>
    <row r="325" ht="15" customHeight="1" s="12">
      <c r="A325" s="20" t="n"/>
      <c r="B325" s="20" t="n"/>
      <c r="C325" s="20" t="n"/>
      <c r="D325" s="20" t="n"/>
      <c r="E325" s="20" t="n"/>
      <c r="F325" s="20" t="n"/>
      <c r="G325" s="20" t="n"/>
      <c r="H325" s="20" t="n"/>
      <c r="I325" s="20" t="n"/>
      <c r="J325" s="20" t="n"/>
      <c r="K325" s="11">
        <f>IF(OR(F325="",J325=""),"",IF(F325=J325,1,0))</f>
        <v/>
      </c>
    </row>
    <row r="326" ht="15" customHeight="1" s="12">
      <c r="A326" s="20" t="n"/>
      <c r="B326" s="20" t="n"/>
      <c r="C326" s="20" t="n"/>
      <c r="D326" s="20" t="n"/>
      <c r="E326" s="20" t="n"/>
      <c r="F326" s="20" t="n"/>
      <c r="G326" s="20" t="n"/>
      <c r="H326" s="20" t="n"/>
      <c r="I326" s="20" t="n"/>
      <c r="J326" s="20" t="n"/>
      <c r="K326" s="11">
        <f>IF(OR(F326="",J326=""),"",IF(F326=J326,1,0))</f>
        <v/>
      </c>
    </row>
    <row r="327" ht="15" customHeight="1" s="12">
      <c r="A327" s="20" t="n"/>
      <c r="B327" s="20" t="n"/>
      <c r="C327" s="20" t="n"/>
      <c r="D327" s="20" t="n"/>
      <c r="E327" s="20" t="n"/>
      <c r="F327" s="20" t="n"/>
      <c r="G327" s="20" t="n"/>
      <c r="H327" s="20" t="n"/>
      <c r="I327" s="20" t="n"/>
      <c r="J327" s="20" t="n"/>
      <c r="K327" s="11">
        <f>IF(OR(F327="",J327=""),"",IF(F327=J327,1,0))</f>
        <v/>
      </c>
    </row>
    <row r="328" ht="15" customHeight="1" s="12">
      <c r="A328" s="20" t="n"/>
      <c r="B328" s="20" t="n"/>
      <c r="C328" s="20" t="n"/>
      <c r="D328" s="20" t="n"/>
      <c r="E328" s="20" t="n"/>
      <c r="F328" s="20" t="n"/>
      <c r="G328" s="20" t="n"/>
      <c r="H328" s="20" t="n"/>
      <c r="I328" s="20" t="n"/>
      <c r="J328" s="20" t="n"/>
      <c r="K328" s="11">
        <f>IF(OR(F328="",J328=""),"",IF(F328=J328,1,0))</f>
        <v/>
      </c>
    </row>
    <row r="329" ht="15" customHeight="1" s="12">
      <c r="A329" s="20" t="n"/>
      <c r="B329" s="20" t="n"/>
      <c r="C329" s="20" t="n"/>
      <c r="D329" s="20" t="n"/>
      <c r="E329" s="20" t="n"/>
      <c r="F329" s="20" t="n"/>
      <c r="G329" s="20" t="n"/>
      <c r="H329" s="20" t="n"/>
      <c r="I329" s="20" t="n"/>
      <c r="J329" s="20" t="n"/>
      <c r="K329" s="11">
        <f>IF(OR(F329="",J329=""),"",IF(F329=J329,1,0))</f>
        <v/>
      </c>
    </row>
    <row r="330" ht="15" customHeight="1" s="12">
      <c r="A330" s="20" t="n"/>
      <c r="B330" s="20" t="n"/>
      <c r="C330" s="20" t="n"/>
      <c r="D330" s="20" t="n"/>
      <c r="E330" s="20" t="n"/>
      <c r="F330" s="20" t="n"/>
      <c r="G330" s="20" t="n"/>
      <c r="H330" s="20" t="n"/>
      <c r="I330" s="20" t="n"/>
      <c r="J330" s="20" t="n"/>
      <c r="K330" s="11">
        <f>IF(OR(F330="",J330=""),"",IF(F330=J330,1,0))</f>
        <v/>
      </c>
    </row>
    <row r="331" ht="15" customHeight="1" s="12">
      <c r="A331" s="20" t="n"/>
      <c r="B331" s="20" t="n"/>
      <c r="C331" s="20" t="n"/>
      <c r="D331" s="20" t="n"/>
      <c r="E331" s="20" t="n"/>
      <c r="F331" s="20" t="n"/>
      <c r="G331" s="20" t="n"/>
      <c r="H331" s="20" t="n"/>
      <c r="I331" s="20" t="n"/>
      <c r="J331" s="20" t="n"/>
      <c r="K331" s="11">
        <f>IF(OR(F331="",J331=""),"",IF(F331=J331,1,0))</f>
        <v/>
      </c>
    </row>
    <row r="332" ht="15" customHeight="1" s="12">
      <c r="A332" s="20" t="n"/>
      <c r="B332" s="20" t="n"/>
      <c r="C332" s="20" t="n"/>
      <c r="D332" s="20" t="n"/>
      <c r="E332" s="20" t="n"/>
      <c r="F332" s="20" t="n"/>
      <c r="G332" s="20" t="n"/>
      <c r="H332" s="20" t="n"/>
      <c r="I332" s="20" t="n"/>
      <c r="J332" s="20" t="n"/>
      <c r="K332" s="11">
        <f>IF(OR(F332="",J332=""),"",IF(F332=J332,1,0))</f>
        <v/>
      </c>
    </row>
    <row r="333" ht="15" customHeight="1" s="12">
      <c r="A333" s="20" t="n"/>
      <c r="B333" s="20" t="n"/>
      <c r="C333" s="20" t="n"/>
      <c r="D333" s="20" t="n"/>
      <c r="E333" s="20" t="n"/>
      <c r="F333" s="20" t="n"/>
      <c r="G333" s="20" t="n"/>
      <c r="H333" s="20" t="n"/>
      <c r="I333" s="20" t="n"/>
      <c r="J333" s="20" t="n"/>
      <c r="K333" s="11">
        <f>IF(OR(F333="",J333=""),"",IF(F333=J333,1,0))</f>
        <v/>
      </c>
    </row>
    <row r="334" ht="15" customHeight="1" s="12">
      <c r="A334" s="20" t="n"/>
      <c r="B334" s="20" t="n"/>
      <c r="C334" s="20" t="n"/>
      <c r="D334" s="20" t="n"/>
      <c r="E334" s="20" t="n"/>
      <c r="F334" s="20" t="n"/>
      <c r="G334" s="20" t="n"/>
      <c r="H334" s="20" t="n"/>
      <c r="I334" s="20" t="n"/>
      <c r="J334" s="20" t="n"/>
      <c r="K334" s="11">
        <f>IF(OR(F334="",J334=""),"",IF(F334=J334,1,0))</f>
        <v/>
      </c>
    </row>
    <row r="335" ht="15" customHeight="1" s="12">
      <c r="A335" s="20" t="n"/>
      <c r="B335" s="20" t="n"/>
      <c r="C335" s="20" t="n"/>
      <c r="D335" s="20" t="n"/>
      <c r="E335" s="20" t="n"/>
      <c r="F335" s="20" t="n"/>
      <c r="G335" s="20" t="n"/>
      <c r="H335" s="20" t="n"/>
      <c r="I335" s="20" t="n"/>
      <c r="J335" s="20" t="n"/>
      <c r="K335" s="11">
        <f>IF(OR(F335="",J335=""),"",IF(F335=J335,1,0))</f>
        <v/>
      </c>
    </row>
    <row r="336" ht="15" customHeight="1" s="12">
      <c r="A336" s="20" t="n"/>
      <c r="B336" s="20" t="n"/>
      <c r="C336" s="20" t="n"/>
      <c r="D336" s="20" t="n"/>
      <c r="E336" s="20" t="n"/>
      <c r="F336" s="20" t="n"/>
      <c r="G336" s="20" t="n"/>
      <c r="H336" s="20" t="n"/>
      <c r="I336" s="20" t="n"/>
      <c r="J336" s="20" t="n"/>
      <c r="K336" s="11">
        <f>IF(OR(F336="",J336=""),"",IF(F336=J336,1,0))</f>
        <v/>
      </c>
    </row>
    <row r="337" ht="15" customHeight="1" s="12">
      <c r="A337" s="20" t="n"/>
      <c r="B337" s="20" t="n"/>
      <c r="C337" s="20" t="n"/>
      <c r="D337" s="20" t="n"/>
      <c r="E337" s="20" t="n"/>
      <c r="F337" s="20" t="n"/>
      <c r="G337" s="20" t="n"/>
      <c r="H337" s="20" t="n"/>
      <c r="I337" s="20" t="n"/>
      <c r="J337" s="20" t="n"/>
      <c r="K337" s="11">
        <f>IF(OR(F337="",J337=""),"",IF(F337=J337,1,0))</f>
        <v/>
      </c>
    </row>
    <row r="338" ht="15" customHeight="1" s="12">
      <c r="A338" s="20" t="n"/>
      <c r="B338" s="20" t="n"/>
      <c r="C338" s="20" t="n"/>
      <c r="D338" s="20" t="n"/>
      <c r="E338" s="20" t="n"/>
      <c r="F338" s="20" t="n"/>
      <c r="G338" s="20" t="n"/>
      <c r="H338" s="20" t="n"/>
      <c r="I338" s="20" t="n"/>
      <c r="J338" s="20" t="n"/>
      <c r="K338" s="11">
        <f>IF(OR(F338="",J338=""),"",IF(F338=J338,1,0))</f>
        <v/>
      </c>
    </row>
    <row r="339" ht="15" customHeight="1" s="12">
      <c r="A339" s="20" t="n"/>
      <c r="B339" s="20" t="n"/>
      <c r="C339" s="20" t="n"/>
      <c r="D339" s="20" t="n"/>
      <c r="E339" s="20" t="n"/>
      <c r="F339" s="20" t="n"/>
      <c r="G339" s="20" t="n"/>
      <c r="H339" s="20" t="n"/>
      <c r="I339" s="20" t="n"/>
      <c r="J339" s="20" t="n"/>
      <c r="K339" s="11">
        <f>IF(OR(F339="",J339=""),"",IF(F339=J339,1,0))</f>
        <v/>
      </c>
    </row>
    <row r="340" ht="15" customHeight="1" s="12">
      <c r="A340" s="20" t="n"/>
      <c r="B340" s="20" t="n"/>
      <c r="C340" s="20" t="n"/>
      <c r="D340" s="20" t="n"/>
      <c r="E340" s="20" t="n"/>
      <c r="F340" s="20" t="n"/>
      <c r="G340" s="20" t="n"/>
      <c r="H340" s="20" t="n"/>
      <c r="I340" s="20" t="n"/>
      <c r="J340" s="20" t="n"/>
      <c r="K340" s="11">
        <f>IF(OR(F340="",J340=""),"",IF(F340=J340,1,0))</f>
        <v/>
      </c>
    </row>
    <row r="341" ht="15" customHeight="1" s="12">
      <c r="A341" s="20" t="n"/>
      <c r="B341" s="20" t="n"/>
      <c r="C341" s="20" t="n"/>
      <c r="D341" s="20" t="n"/>
      <c r="E341" s="20" t="n"/>
      <c r="F341" s="20" t="n"/>
      <c r="G341" s="20" t="n"/>
      <c r="H341" s="20" t="n"/>
      <c r="I341" s="20" t="n"/>
      <c r="J341" s="20" t="n"/>
      <c r="K341" s="11">
        <f>IF(OR(F341="",J341=""),"",IF(F341=J341,1,0))</f>
        <v/>
      </c>
    </row>
    <row r="342" ht="15" customHeight="1" s="12">
      <c r="A342" s="20" t="n"/>
      <c r="B342" s="20" t="n"/>
      <c r="C342" s="20" t="n"/>
      <c r="D342" s="20" t="n"/>
      <c r="E342" s="20" t="n"/>
      <c r="F342" s="20" t="n"/>
      <c r="G342" s="20" t="n"/>
      <c r="H342" s="20" t="n"/>
      <c r="I342" s="20" t="n"/>
      <c r="J342" s="20" t="n"/>
      <c r="K342" s="11">
        <f>IF(OR(F342="",J342=""),"",IF(F342=J342,1,0))</f>
        <v/>
      </c>
    </row>
    <row r="343" ht="15" customHeight="1" s="12">
      <c r="A343" s="20" t="n"/>
      <c r="B343" s="20" t="n"/>
      <c r="C343" s="20" t="n"/>
      <c r="D343" s="20" t="n"/>
      <c r="E343" s="20" t="n"/>
      <c r="F343" s="20" t="n"/>
      <c r="G343" s="20" t="n"/>
      <c r="H343" s="20" t="n"/>
      <c r="I343" s="20" t="n"/>
      <c r="J343" s="20" t="n"/>
      <c r="K343" s="11">
        <f>IF(OR(F343="",J343=""),"",IF(F343=J343,1,0))</f>
        <v/>
      </c>
    </row>
    <row r="344" ht="15" customHeight="1" s="12">
      <c r="A344" s="20" t="n"/>
      <c r="B344" s="20" t="n"/>
      <c r="C344" s="20" t="n"/>
      <c r="D344" s="20" t="n"/>
      <c r="E344" s="20" t="n"/>
      <c r="F344" s="20" t="n"/>
      <c r="G344" s="20" t="n"/>
      <c r="H344" s="20" t="n"/>
      <c r="I344" s="20" t="n"/>
      <c r="J344" s="20" t="n"/>
      <c r="K344" s="11">
        <f>IF(OR(F344="",J344=""),"",IF(F344=J344,1,0))</f>
        <v/>
      </c>
    </row>
    <row r="345" ht="15" customHeight="1" s="12">
      <c r="A345" s="20" t="n"/>
      <c r="B345" s="20" t="n"/>
      <c r="C345" s="20" t="n"/>
      <c r="D345" s="20" t="n"/>
      <c r="E345" s="20" t="n"/>
      <c r="F345" s="20" t="n"/>
      <c r="G345" s="20" t="n"/>
      <c r="H345" s="20" t="n"/>
      <c r="I345" s="20" t="n"/>
      <c r="J345" s="20" t="n"/>
      <c r="K345" s="11">
        <f>IF(OR(F345="",J345=""),"",IF(F345=J345,1,0))</f>
        <v/>
      </c>
    </row>
    <row r="346" ht="15" customHeight="1" s="12">
      <c r="A346" s="20" t="n"/>
      <c r="B346" s="20" t="n"/>
      <c r="C346" s="20" t="n"/>
      <c r="D346" s="20" t="n"/>
      <c r="E346" s="20" t="n"/>
      <c r="F346" s="20" t="n"/>
      <c r="G346" s="20" t="n"/>
      <c r="H346" s="20" t="n"/>
      <c r="I346" s="20" t="n"/>
      <c r="J346" s="20" t="n"/>
      <c r="K346" s="11">
        <f>IF(OR(F346="",J346=""),"",IF(F346=J346,1,0))</f>
        <v/>
      </c>
    </row>
    <row r="347" ht="15" customHeight="1" s="12">
      <c r="A347" s="20" t="n"/>
      <c r="B347" s="20" t="n"/>
      <c r="C347" s="20" t="n"/>
      <c r="D347" s="20" t="n"/>
      <c r="E347" s="20" t="n"/>
      <c r="F347" s="20" t="n"/>
      <c r="G347" s="20" t="n"/>
      <c r="H347" s="20" t="n"/>
      <c r="I347" s="20" t="n"/>
      <c r="J347" s="20" t="n"/>
      <c r="K347" s="11">
        <f>IF(OR(F347="",J347=""),"",IF(F347=J347,1,0))</f>
        <v/>
      </c>
    </row>
    <row r="348" ht="15" customHeight="1" s="12">
      <c r="A348" s="20" t="n"/>
      <c r="B348" s="20" t="n"/>
      <c r="C348" s="20" t="n"/>
      <c r="D348" s="20" t="n"/>
      <c r="E348" s="20" t="n"/>
      <c r="F348" s="20" t="n"/>
      <c r="G348" s="20" t="n"/>
      <c r="H348" s="20" t="n"/>
      <c r="I348" s="20" t="n"/>
      <c r="J348" s="20" t="n"/>
      <c r="K348" s="11">
        <f>IF(OR(F348="",J348=""),"",IF(F348=J348,1,0))</f>
        <v/>
      </c>
    </row>
    <row r="349" ht="15" customHeight="1" s="12">
      <c r="A349" s="20" t="n"/>
      <c r="B349" s="20" t="n"/>
      <c r="C349" s="20" t="n"/>
      <c r="D349" s="20" t="n"/>
      <c r="E349" s="20" t="n"/>
      <c r="F349" s="20" t="n"/>
      <c r="G349" s="20" t="n"/>
      <c r="H349" s="20" t="n"/>
      <c r="I349" s="20" t="n"/>
      <c r="J349" s="20" t="n"/>
      <c r="K349" s="11">
        <f>IF(OR(F349="",J349=""),"",IF(F349=J349,1,0))</f>
        <v/>
      </c>
    </row>
    <row r="350" ht="15" customHeight="1" s="12">
      <c r="A350" s="20" t="n"/>
      <c r="B350" s="20" t="n"/>
      <c r="C350" s="20" t="n"/>
      <c r="D350" s="20" t="n"/>
      <c r="E350" s="20" t="n"/>
      <c r="F350" s="20" t="n"/>
      <c r="G350" s="20" t="n"/>
      <c r="H350" s="20" t="n"/>
      <c r="I350" s="20" t="n"/>
      <c r="J350" s="20" t="n"/>
      <c r="K350" s="11">
        <f>IF(OR(F350="",J350=""),"",IF(F350=J350,1,0))</f>
        <v/>
      </c>
    </row>
    <row r="351" ht="15" customHeight="1" s="12">
      <c r="A351" s="20" t="n"/>
      <c r="B351" s="20" t="n"/>
      <c r="C351" s="20" t="n"/>
      <c r="D351" s="20" t="n"/>
      <c r="E351" s="20" t="n"/>
      <c r="F351" s="20" t="n"/>
      <c r="G351" s="20" t="n"/>
      <c r="H351" s="20" t="n"/>
      <c r="I351" s="20" t="n"/>
      <c r="J351" s="20" t="n"/>
      <c r="K351" s="11">
        <f>IF(OR(F351="",J351=""),"",IF(F351=J351,1,0))</f>
        <v/>
      </c>
    </row>
    <row r="352" ht="15" customHeight="1" s="12">
      <c r="A352" s="20" t="n"/>
      <c r="B352" s="20" t="n"/>
      <c r="C352" s="20" t="n"/>
      <c r="D352" s="20" t="n"/>
      <c r="E352" s="20" t="n"/>
      <c r="F352" s="20" t="n"/>
      <c r="G352" s="20" t="n"/>
      <c r="H352" s="20" t="n"/>
      <c r="I352" s="20" t="n"/>
      <c r="J352" s="20" t="n"/>
      <c r="K352" s="11">
        <f>IF(OR(F352="",J352=""),"",IF(F352=J352,1,0))</f>
        <v/>
      </c>
    </row>
    <row r="353" ht="15" customHeight="1" s="12">
      <c r="A353" s="20" t="n"/>
      <c r="B353" s="20" t="n"/>
      <c r="C353" s="20" t="n"/>
      <c r="D353" s="20" t="n"/>
      <c r="E353" s="20" t="n"/>
      <c r="F353" s="20" t="n"/>
      <c r="G353" s="20" t="n"/>
      <c r="H353" s="20" t="n"/>
      <c r="I353" s="20" t="n"/>
      <c r="J353" s="20" t="n"/>
      <c r="K353" s="11">
        <f>IF(OR(F353="",J353=""),"",IF(F353=J353,1,0))</f>
        <v/>
      </c>
    </row>
    <row r="354" ht="15" customHeight="1" s="12">
      <c r="A354" s="20" t="n"/>
      <c r="B354" s="20" t="n"/>
      <c r="C354" s="20" t="n"/>
      <c r="D354" s="20" t="n"/>
      <c r="E354" s="20" t="n"/>
      <c r="F354" s="20" t="n"/>
      <c r="G354" s="20" t="n"/>
      <c r="H354" s="20" t="n"/>
      <c r="I354" s="20" t="n"/>
      <c r="J354" s="20" t="n"/>
      <c r="K354" s="11">
        <f>IF(OR(F354="",J354=""),"",IF(F354=J354,1,0))</f>
        <v/>
      </c>
    </row>
    <row r="355" ht="15" customHeight="1" s="12">
      <c r="A355" s="20" t="n"/>
      <c r="B355" s="20" t="n"/>
      <c r="C355" s="20" t="n"/>
      <c r="D355" s="20" t="n"/>
      <c r="E355" s="20" t="n"/>
      <c r="F355" s="20" t="n"/>
      <c r="G355" s="20" t="n"/>
      <c r="H355" s="20" t="n"/>
      <c r="I355" s="20" t="n"/>
      <c r="J355" s="20" t="n"/>
      <c r="K355" s="11">
        <f>IF(OR(F355="",J355=""),"",IF(F355=J355,1,0))</f>
        <v/>
      </c>
    </row>
    <row r="356" ht="15" customHeight="1" s="12">
      <c r="A356" s="20" t="n"/>
      <c r="B356" s="20" t="n"/>
      <c r="C356" s="20" t="n"/>
      <c r="D356" s="20" t="n"/>
      <c r="E356" s="20" t="n"/>
      <c r="F356" s="20" t="n"/>
      <c r="G356" s="20" t="n"/>
      <c r="H356" s="20" t="n"/>
      <c r="I356" s="20" t="n"/>
      <c r="J356" s="20" t="n"/>
      <c r="K356" s="11">
        <f>IF(OR(F356="",J356=""),"",IF(F356=J356,1,0))</f>
        <v/>
      </c>
    </row>
    <row r="357" ht="15" customHeight="1" s="12">
      <c r="A357" s="20" t="n"/>
      <c r="B357" s="20" t="n"/>
      <c r="C357" s="20" t="n"/>
      <c r="D357" s="20" t="n"/>
      <c r="E357" s="20" t="n"/>
      <c r="F357" s="20" t="n"/>
      <c r="G357" s="20" t="n"/>
      <c r="H357" s="20" t="n"/>
      <c r="I357" s="20" t="n"/>
      <c r="J357" s="20" t="n"/>
      <c r="K357" s="11">
        <f>IF(OR(F357="",J357=""),"",IF(F357=J357,1,0))</f>
        <v/>
      </c>
    </row>
    <row r="358" ht="15" customHeight="1" s="12">
      <c r="A358" s="20" t="n"/>
      <c r="B358" s="20" t="n"/>
      <c r="C358" s="20" t="n"/>
      <c r="D358" s="20" t="n"/>
      <c r="E358" s="20" t="n"/>
      <c r="F358" s="20" t="n"/>
      <c r="G358" s="20" t="n"/>
      <c r="H358" s="20" t="n"/>
      <c r="I358" s="20" t="n"/>
      <c r="J358" s="20" t="n"/>
      <c r="K358" s="11">
        <f>IF(OR(F358="",J358=""),"",IF(F358=J358,1,0))</f>
        <v/>
      </c>
    </row>
    <row r="359" ht="15" customHeight="1" s="12">
      <c r="A359" s="20" t="n"/>
      <c r="B359" s="20" t="n"/>
      <c r="C359" s="20" t="n"/>
      <c r="D359" s="20" t="n"/>
      <c r="E359" s="20" t="n"/>
      <c r="F359" s="20" t="n"/>
      <c r="G359" s="20" t="n"/>
      <c r="H359" s="20" t="n"/>
      <c r="I359" s="20" t="n"/>
      <c r="J359" s="20" t="n"/>
      <c r="K359" s="11">
        <f>IF(OR(F359="",J359=""),"",IF(F359=J359,1,0))</f>
        <v/>
      </c>
    </row>
    <row r="360" ht="15" customHeight="1" s="12">
      <c r="A360" s="20" t="n"/>
      <c r="B360" s="20" t="n"/>
      <c r="C360" s="20" t="n"/>
      <c r="D360" s="20" t="n"/>
      <c r="E360" s="20" t="n"/>
      <c r="F360" s="20" t="n"/>
      <c r="G360" s="20" t="n"/>
      <c r="H360" s="20" t="n"/>
      <c r="I360" s="20" t="n"/>
      <c r="J360" s="20" t="n"/>
      <c r="K360" s="11">
        <f>IF(OR(F360="",J360=""),"",IF(F360=J360,1,0))</f>
        <v/>
      </c>
    </row>
    <row r="361" ht="15" customHeight="1" s="12">
      <c r="A361" s="20" t="n"/>
      <c r="B361" s="20" t="n"/>
      <c r="C361" s="20" t="n"/>
      <c r="D361" s="20" t="n"/>
      <c r="E361" s="20" t="n"/>
      <c r="F361" s="20" t="n"/>
      <c r="G361" s="20" t="n"/>
      <c r="H361" s="20" t="n"/>
      <c r="I361" s="20" t="n"/>
      <c r="J361" s="20" t="n"/>
      <c r="K361" s="11">
        <f>IF(OR(F361="",J361=""),"",IF(F361=J361,1,0))</f>
        <v/>
      </c>
    </row>
    <row r="362" ht="15" customHeight="1" s="12">
      <c r="A362" s="20" t="n"/>
      <c r="B362" s="20" t="n"/>
      <c r="C362" s="20" t="n"/>
      <c r="D362" s="20" t="n"/>
      <c r="E362" s="20" t="n"/>
      <c r="F362" s="20" t="n"/>
      <c r="G362" s="20" t="n"/>
      <c r="H362" s="20" t="n"/>
      <c r="I362" s="20" t="n"/>
      <c r="J362" s="20" t="n"/>
      <c r="K362" s="11">
        <f>IF(OR(F362="",J362=""),"",IF(F362=J362,1,0))</f>
        <v/>
      </c>
    </row>
    <row r="363" ht="15" customHeight="1" s="12">
      <c r="A363" s="20" t="n"/>
      <c r="B363" s="20" t="n"/>
      <c r="C363" s="20" t="n"/>
      <c r="D363" s="20" t="n"/>
      <c r="E363" s="20" t="n"/>
      <c r="F363" s="20" t="n"/>
      <c r="G363" s="20" t="n"/>
      <c r="H363" s="20" t="n"/>
      <c r="I363" s="20" t="n"/>
      <c r="J363" s="20" t="n"/>
      <c r="K363" s="11">
        <f>IF(OR(F363="",J363=""),"",IF(F363=J363,1,0))</f>
        <v/>
      </c>
    </row>
    <row r="364" ht="15" customHeight="1" s="12">
      <c r="A364" s="20" t="n"/>
      <c r="B364" s="20" t="n"/>
      <c r="C364" s="20" t="n"/>
      <c r="D364" s="20" t="n"/>
      <c r="E364" s="20" t="n"/>
      <c r="F364" s="20" t="n"/>
      <c r="G364" s="20" t="n"/>
      <c r="H364" s="20" t="n"/>
      <c r="I364" s="20" t="n"/>
      <c r="J364" s="20" t="n"/>
      <c r="K364" s="11">
        <f>IF(OR(F364="",J364=""),"",IF(F364=J364,1,0))</f>
        <v/>
      </c>
    </row>
    <row r="365" ht="15" customHeight="1" s="12">
      <c r="A365" s="20" t="n"/>
      <c r="B365" s="20" t="n"/>
      <c r="C365" s="20" t="n"/>
      <c r="D365" s="20" t="n"/>
      <c r="E365" s="20" t="n"/>
      <c r="F365" s="20" t="n"/>
      <c r="G365" s="20" t="n"/>
      <c r="H365" s="20" t="n"/>
      <c r="I365" s="20" t="n"/>
      <c r="J365" s="20" t="n"/>
      <c r="K365" s="11">
        <f>IF(OR(F365="",J365=""),"",IF(F365=J365,1,0))</f>
        <v/>
      </c>
    </row>
    <row r="366" ht="15" customHeight="1" s="12">
      <c r="A366" s="20" t="n"/>
      <c r="B366" s="20" t="n"/>
      <c r="C366" s="20" t="n"/>
      <c r="D366" s="20" t="n"/>
      <c r="E366" s="20" t="n"/>
      <c r="F366" s="20" t="n"/>
      <c r="G366" s="20" t="n"/>
      <c r="H366" s="20" t="n"/>
      <c r="I366" s="20" t="n"/>
      <c r="J366" s="20" t="n"/>
      <c r="K366" s="11">
        <f>IF(OR(F366="",J366=""),"",IF(F366=J366,1,0))</f>
        <v/>
      </c>
    </row>
    <row r="367" ht="15" customHeight="1" s="12">
      <c r="A367" s="20" t="n"/>
      <c r="B367" s="20" t="n"/>
      <c r="C367" s="20" t="n"/>
      <c r="D367" s="20" t="n"/>
      <c r="E367" s="20" t="n"/>
      <c r="F367" s="20" t="n"/>
      <c r="G367" s="20" t="n"/>
      <c r="H367" s="20" t="n"/>
      <c r="I367" s="20" t="n"/>
      <c r="J367" s="20" t="n"/>
      <c r="K367" s="11">
        <f>IF(OR(F367="",J367=""),"",IF(F367=J367,1,0))</f>
        <v/>
      </c>
    </row>
    <row r="368" ht="15" customHeight="1" s="12">
      <c r="A368" s="20" t="n"/>
      <c r="B368" s="20" t="n"/>
      <c r="C368" s="20" t="n"/>
      <c r="D368" s="20" t="n"/>
      <c r="E368" s="20" t="n"/>
      <c r="F368" s="20" t="n"/>
      <c r="G368" s="20" t="n"/>
      <c r="H368" s="20" t="n"/>
      <c r="I368" s="20" t="n"/>
      <c r="J368" s="20" t="n"/>
      <c r="K368" s="11">
        <f>IF(OR(F368="",J368=""),"",IF(F368=J368,1,0))</f>
        <v/>
      </c>
    </row>
    <row r="369" ht="15" customHeight="1" s="12">
      <c r="A369" s="20" t="n"/>
      <c r="B369" s="20" t="n"/>
      <c r="C369" s="20" t="n"/>
      <c r="D369" s="20" t="n"/>
      <c r="E369" s="20" t="n"/>
      <c r="F369" s="20" t="n"/>
      <c r="G369" s="20" t="n"/>
      <c r="H369" s="20" t="n"/>
      <c r="I369" s="20" t="n"/>
      <c r="J369" s="20" t="n"/>
      <c r="K369" s="11">
        <f>IF(OR(F369="",J369=""),"",IF(F369=J369,1,0))</f>
        <v/>
      </c>
    </row>
    <row r="370" ht="15" customHeight="1" s="12">
      <c r="A370" s="20" t="n"/>
      <c r="B370" s="20" t="n"/>
      <c r="C370" s="20" t="n"/>
      <c r="D370" s="20" t="n"/>
      <c r="E370" s="20" t="n"/>
      <c r="F370" s="20" t="n"/>
      <c r="G370" s="20" t="n"/>
      <c r="H370" s="20" t="n"/>
      <c r="I370" s="20" t="n"/>
      <c r="J370" s="20" t="n"/>
      <c r="K370" s="11">
        <f>IF(OR(F370="",J370=""),"",IF(F370=J370,1,0))</f>
        <v/>
      </c>
    </row>
    <row r="371" ht="15" customHeight="1" s="12">
      <c r="A371" s="20" t="n"/>
      <c r="B371" s="20" t="n"/>
      <c r="C371" s="20" t="n"/>
      <c r="D371" s="20" t="n"/>
      <c r="E371" s="20" t="n"/>
      <c r="F371" s="20" t="n"/>
      <c r="G371" s="20" t="n"/>
      <c r="H371" s="20" t="n"/>
      <c r="I371" s="20" t="n"/>
      <c r="J371" s="20" t="n"/>
      <c r="K371" s="11">
        <f>IF(OR(F371="",J371=""),"",IF(F371=J371,1,0))</f>
        <v/>
      </c>
    </row>
    <row r="372" ht="15" customHeight="1" s="12">
      <c r="A372" s="20" t="n"/>
      <c r="B372" s="20" t="n"/>
      <c r="C372" s="20" t="n"/>
      <c r="D372" s="20" t="n"/>
      <c r="E372" s="20" t="n"/>
      <c r="F372" s="20" t="n"/>
      <c r="G372" s="20" t="n"/>
      <c r="H372" s="20" t="n"/>
      <c r="I372" s="20" t="n"/>
      <c r="J372" s="20" t="n"/>
      <c r="K372" s="11">
        <f>IF(OR(F372="",J372=""),"",IF(F372=J372,1,0))</f>
        <v/>
      </c>
    </row>
    <row r="373" ht="15" customHeight="1" s="12">
      <c r="A373" s="20" t="n"/>
      <c r="B373" s="20" t="n"/>
      <c r="C373" s="20" t="n"/>
      <c r="D373" s="20" t="n"/>
      <c r="E373" s="20" t="n"/>
      <c r="F373" s="20" t="n"/>
      <c r="G373" s="20" t="n"/>
      <c r="H373" s="20" t="n"/>
      <c r="I373" s="20" t="n"/>
      <c r="J373" s="20" t="n"/>
      <c r="K373" s="11">
        <f>IF(OR(F373="",J373=""),"",IF(F373=J373,1,0))</f>
        <v/>
      </c>
    </row>
    <row r="374" ht="15" customHeight="1" s="12">
      <c r="A374" s="20" t="n"/>
      <c r="B374" s="20" t="n"/>
      <c r="C374" s="20" t="n"/>
      <c r="D374" s="20" t="n"/>
      <c r="E374" s="20" t="n"/>
      <c r="F374" s="20" t="n"/>
      <c r="G374" s="20" t="n"/>
      <c r="H374" s="20" t="n"/>
      <c r="I374" s="20" t="n"/>
      <c r="J374" s="20" t="n"/>
      <c r="K374" s="11">
        <f>IF(OR(F374="",J374=""),"",IF(F374=J374,1,0))</f>
        <v/>
      </c>
    </row>
    <row r="375" ht="15" customHeight="1" s="12">
      <c r="A375" s="20" t="n"/>
      <c r="B375" s="20" t="n"/>
      <c r="C375" s="20" t="n"/>
      <c r="D375" s="20" t="n"/>
      <c r="E375" s="20" t="n"/>
      <c r="F375" s="20" t="n"/>
      <c r="G375" s="20" t="n"/>
      <c r="H375" s="20" t="n"/>
      <c r="I375" s="20" t="n"/>
      <c r="J375" s="20" t="n"/>
      <c r="K375" s="11">
        <f>IF(OR(F375="",J375=""),"",IF(F375=J375,1,0))</f>
        <v/>
      </c>
    </row>
    <row r="376" ht="15" customHeight="1" s="12">
      <c r="A376" s="20" t="n"/>
      <c r="B376" s="20" t="n"/>
      <c r="C376" s="20" t="n"/>
      <c r="D376" s="20" t="n"/>
      <c r="E376" s="20" t="n"/>
      <c r="F376" s="20" t="n"/>
      <c r="G376" s="20" t="n"/>
      <c r="H376" s="20" t="n"/>
      <c r="I376" s="20" t="n"/>
      <c r="J376" s="20" t="n"/>
      <c r="K376" s="11">
        <f>IF(OR(F376="",J376=""),"",IF(F376=J376,1,0))</f>
        <v/>
      </c>
    </row>
    <row r="377" ht="15" customHeight="1" s="12">
      <c r="A377" s="20" t="n"/>
      <c r="B377" s="20" t="n"/>
      <c r="C377" s="20" t="n"/>
      <c r="D377" s="20" t="n"/>
      <c r="E377" s="20" t="n"/>
      <c r="F377" s="20" t="n"/>
      <c r="G377" s="20" t="n"/>
      <c r="H377" s="20" t="n"/>
      <c r="I377" s="20" t="n"/>
      <c r="J377" s="20" t="n"/>
      <c r="K377" s="11">
        <f>IF(OR(F377="",J377=""),"",IF(F377=J377,1,0))</f>
        <v/>
      </c>
    </row>
    <row r="378" ht="15" customHeight="1" s="12">
      <c r="A378" s="20" t="n"/>
      <c r="B378" s="20" t="n"/>
      <c r="C378" s="20" t="n"/>
      <c r="D378" s="20" t="n"/>
      <c r="E378" s="20" t="n"/>
      <c r="F378" s="20" t="n"/>
      <c r="G378" s="20" t="n"/>
      <c r="H378" s="20" t="n"/>
      <c r="I378" s="20" t="n"/>
      <c r="J378" s="20" t="n"/>
      <c r="K378" s="11">
        <f>IF(OR(F378="",J378=""),"",IF(F378=J378,1,0))</f>
        <v/>
      </c>
    </row>
    <row r="379" ht="15" customHeight="1" s="12">
      <c r="A379" s="20" t="n"/>
      <c r="B379" s="20" t="n"/>
      <c r="C379" s="20" t="n"/>
      <c r="D379" s="20" t="n"/>
      <c r="E379" s="20" t="n"/>
      <c r="F379" s="20" t="n"/>
      <c r="G379" s="20" t="n"/>
      <c r="H379" s="20" t="n"/>
      <c r="I379" s="20" t="n"/>
      <c r="J379" s="20" t="n"/>
      <c r="K379" s="11">
        <f>IF(OR(F379="",J379=""),"",IF(F379=J379,1,0))</f>
        <v/>
      </c>
    </row>
    <row r="380" ht="15" customHeight="1" s="12">
      <c r="A380" s="20" t="n"/>
      <c r="B380" s="20" t="n"/>
      <c r="C380" s="20" t="n"/>
      <c r="D380" s="20" t="n"/>
      <c r="E380" s="20" t="n"/>
      <c r="F380" s="20" t="n"/>
      <c r="G380" s="20" t="n"/>
      <c r="H380" s="20" t="n"/>
      <c r="I380" s="20" t="n"/>
      <c r="J380" s="20" t="n"/>
      <c r="K380" s="11">
        <f>IF(OR(F380="",J380=""),"",IF(F380=J380,1,0))</f>
        <v/>
      </c>
    </row>
    <row r="381" ht="15" customHeight="1" s="12">
      <c r="A381" s="20" t="n"/>
      <c r="B381" s="20" t="n"/>
      <c r="C381" s="20" t="n"/>
      <c r="D381" s="20" t="n"/>
      <c r="E381" s="20" t="n"/>
      <c r="F381" s="20" t="n"/>
      <c r="G381" s="20" t="n"/>
      <c r="H381" s="20" t="n"/>
      <c r="I381" s="20" t="n"/>
      <c r="J381" s="20" t="n"/>
      <c r="K381" s="11">
        <f>IF(OR(F381="",J381=""),"",IF(F381=J381,1,0))</f>
        <v/>
      </c>
    </row>
    <row r="382" ht="15" customHeight="1" s="12">
      <c r="A382" s="20" t="n"/>
      <c r="B382" s="20" t="n"/>
      <c r="C382" s="20" t="n"/>
      <c r="D382" s="20" t="n"/>
      <c r="E382" s="20" t="n"/>
      <c r="F382" s="20" t="n"/>
      <c r="G382" s="20" t="n"/>
      <c r="H382" s="20" t="n"/>
      <c r="I382" s="20" t="n"/>
      <c r="J382" s="20" t="n"/>
      <c r="K382" s="11">
        <f>IF(OR(F382="",J382=""),"",IF(F382=J382,1,0))</f>
        <v/>
      </c>
    </row>
    <row r="383" ht="15" customHeight="1" s="12">
      <c r="A383" s="20" t="n"/>
      <c r="B383" s="20" t="n"/>
      <c r="C383" s="20" t="n"/>
      <c r="D383" s="20" t="n"/>
      <c r="E383" s="20" t="n"/>
      <c r="F383" s="20" t="n"/>
      <c r="G383" s="20" t="n"/>
      <c r="H383" s="20" t="n"/>
      <c r="I383" s="20" t="n"/>
      <c r="J383" s="20" t="n"/>
      <c r="K383" s="11">
        <f>IF(OR(F383="",J383=""),"",IF(F383=J383,1,0))</f>
        <v/>
      </c>
    </row>
    <row r="384" ht="15" customHeight="1" s="12">
      <c r="A384" s="20" t="n"/>
      <c r="B384" s="20" t="n"/>
      <c r="C384" s="20" t="n"/>
      <c r="D384" s="20" t="n"/>
      <c r="E384" s="20" t="n"/>
      <c r="F384" s="20" t="n"/>
      <c r="G384" s="20" t="n"/>
      <c r="H384" s="20" t="n"/>
      <c r="I384" s="20" t="n"/>
      <c r="J384" s="20" t="n"/>
      <c r="K384" s="11">
        <f>IF(OR(F384="",J384=""),"",IF(F384=J384,1,0))</f>
        <v/>
      </c>
    </row>
    <row r="385" ht="15" customHeight="1" s="12">
      <c r="A385" s="20" t="n"/>
      <c r="B385" s="20" t="n"/>
      <c r="C385" s="20" t="n"/>
      <c r="D385" s="20" t="n"/>
      <c r="E385" s="20" t="n"/>
      <c r="F385" s="20" t="n"/>
      <c r="G385" s="20" t="n"/>
      <c r="H385" s="20" t="n"/>
      <c r="I385" s="20" t="n"/>
      <c r="J385" s="20" t="n"/>
      <c r="K385" s="11">
        <f>IF(OR(F385="",J385=""),"",IF(F385=J385,1,0))</f>
        <v/>
      </c>
    </row>
    <row r="386" ht="15" customHeight="1" s="12">
      <c r="A386" s="20" t="n"/>
      <c r="B386" s="20" t="n"/>
      <c r="C386" s="20" t="n"/>
      <c r="D386" s="20" t="n"/>
      <c r="E386" s="20" t="n"/>
      <c r="F386" s="20" t="n"/>
      <c r="G386" s="20" t="n"/>
      <c r="H386" s="20" t="n"/>
      <c r="I386" s="20" t="n"/>
      <c r="J386" s="20" t="n"/>
      <c r="K386" s="11">
        <f>IF(OR(F386="",J386=""),"",IF(F386=J386,1,0))</f>
        <v/>
      </c>
    </row>
    <row r="387" ht="15" customHeight="1" s="12">
      <c r="A387" s="20" t="n"/>
      <c r="B387" s="20" t="n"/>
      <c r="C387" s="20" t="n"/>
      <c r="D387" s="20" t="n"/>
      <c r="E387" s="20" t="n"/>
      <c r="F387" s="20" t="n"/>
      <c r="G387" s="20" t="n"/>
      <c r="H387" s="20" t="n"/>
      <c r="I387" s="20" t="n"/>
      <c r="J387" s="20" t="n"/>
      <c r="K387" s="11">
        <f>IF(OR(F387="",J387=""),"",IF(F387=J387,1,0))</f>
        <v/>
      </c>
    </row>
    <row r="388" ht="15" customHeight="1" s="12">
      <c r="A388" s="20" t="n"/>
      <c r="B388" s="20" t="n"/>
      <c r="C388" s="20" t="n"/>
      <c r="D388" s="20" t="n"/>
      <c r="E388" s="20" t="n"/>
      <c r="F388" s="20" t="n"/>
      <c r="G388" s="20" t="n"/>
      <c r="H388" s="20" t="n"/>
      <c r="I388" s="20" t="n"/>
      <c r="J388" s="20" t="n"/>
      <c r="K388" s="11">
        <f>IF(OR(F388="",J388=""),"",IF(F388=J388,1,0))</f>
        <v/>
      </c>
    </row>
    <row r="389" ht="15" customHeight="1" s="12">
      <c r="A389" s="20" t="n"/>
      <c r="B389" s="20" t="n"/>
      <c r="C389" s="20" t="n"/>
      <c r="D389" s="20" t="n"/>
      <c r="E389" s="20" t="n"/>
      <c r="F389" s="20" t="n"/>
      <c r="G389" s="20" t="n"/>
      <c r="H389" s="20" t="n"/>
      <c r="I389" s="20" t="n"/>
      <c r="J389" s="20" t="n"/>
      <c r="K389" s="11">
        <f>IF(OR(F389="",J389=""),"",IF(F389=J389,1,0))</f>
        <v/>
      </c>
    </row>
    <row r="390" ht="15" customHeight="1" s="12">
      <c r="A390" s="20" t="n"/>
      <c r="B390" s="20" t="n"/>
      <c r="C390" s="20" t="n"/>
      <c r="D390" s="20" t="n"/>
      <c r="E390" s="20" t="n"/>
      <c r="F390" s="20" t="n"/>
      <c r="G390" s="20" t="n"/>
      <c r="H390" s="20" t="n"/>
      <c r="I390" s="20" t="n"/>
      <c r="J390" s="20" t="n"/>
      <c r="K390" s="11">
        <f>IF(OR(F390="",J390=""),"",IF(F390=J390,1,0))</f>
        <v/>
      </c>
    </row>
    <row r="391" ht="15" customHeight="1" s="12">
      <c r="A391" s="20" t="n"/>
      <c r="B391" s="20" t="n"/>
      <c r="C391" s="20" t="n"/>
      <c r="D391" s="20" t="n"/>
      <c r="E391" s="20" t="n"/>
      <c r="F391" s="20" t="n"/>
      <c r="G391" s="20" t="n"/>
      <c r="H391" s="20" t="n"/>
      <c r="I391" s="20" t="n"/>
      <c r="J391" s="20" t="n"/>
      <c r="K391" s="11">
        <f>IF(OR(F391="",J391=""),"",IF(F391=J391,1,0))</f>
        <v/>
      </c>
    </row>
    <row r="392" ht="15" customHeight="1" s="12">
      <c r="A392" s="20" t="n"/>
      <c r="B392" s="20" t="n"/>
      <c r="C392" s="20" t="n"/>
      <c r="D392" s="20" t="n"/>
      <c r="E392" s="20" t="n"/>
      <c r="F392" s="20" t="n"/>
      <c r="G392" s="20" t="n"/>
      <c r="H392" s="20" t="n"/>
      <c r="I392" s="20" t="n"/>
      <c r="J392" s="20" t="n"/>
      <c r="K392" s="11">
        <f>IF(OR(F392="",J392=""),"",IF(F392=J392,1,0))</f>
        <v/>
      </c>
    </row>
    <row r="393" ht="15" customHeight="1" s="12">
      <c r="A393" s="20" t="n"/>
      <c r="B393" s="20" t="n"/>
      <c r="C393" s="20" t="n"/>
      <c r="D393" s="20" t="n"/>
      <c r="E393" s="20" t="n"/>
      <c r="F393" s="20" t="n"/>
      <c r="G393" s="20" t="n"/>
      <c r="H393" s="20" t="n"/>
      <c r="I393" s="20" t="n"/>
      <c r="J393" s="20" t="n"/>
      <c r="K393" s="11">
        <f>IF(OR(F393="",J393=""),"",IF(F393=J393,1,0))</f>
        <v/>
      </c>
    </row>
    <row r="394" ht="15" customHeight="1" s="12">
      <c r="A394" s="20" t="n"/>
      <c r="B394" s="20" t="n"/>
      <c r="C394" s="20" t="n"/>
      <c r="D394" s="20" t="n"/>
      <c r="E394" s="20" t="n"/>
      <c r="F394" s="20" t="n"/>
      <c r="G394" s="20" t="n"/>
      <c r="H394" s="20" t="n"/>
      <c r="I394" s="20" t="n"/>
      <c r="J394" s="20" t="n"/>
      <c r="K394" s="11">
        <f>IF(OR(F394="",J394=""),"",IF(F394=J394,1,0))</f>
        <v/>
      </c>
    </row>
    <row r="395" ht="15" customHeight="1" s="12">
      <c r="A395" s="20" t="n"/>
      <c r="B395" s="20" t="n"/>
      <c r="C395" s="20" t="n"/>
      <c r="D395" s="20" t="n"/>
      <c r="E395" s="20" t="n"/>
      <c r="F395" s="20" t="n"/>
      <c r="G395" s="20" t="n"/>
      <c r="H395" s="20" t="n"/>
      <c r="I395" s="20" t="n"/>
      <c r="J395" s="20" t="n"/>
      <c r="K395" s="11">
        <f>IF(OR(F395="",J395=""),"",IF(F395=J395,1,0))</f>
        <v/>
      </c>
    </row>
    <row r="396" ht="15" customHeight="1" s="12">
      <c r="A396" s="20" t="n"/>
      <c r="B396" s="20" t="n"/>
      <c r="C396" s="20" t="n"/>
      <c r="D396" s="20" t="n"/>
      <c r="E396" s="20" t="n"/>
      <c r="F396" s="20" t="n"/>
      <c r="G396" s="20" t="n"/>
      <c r="H396" s="20" t="n"/>
      <c r="I396" s="20" t="n"/>
      <c r="J396" s="20" t="n"/>
      <c r="K396" s="11">
        <f>IF(OR(F396="",J396=""),"",IF(F396=J396,1,0))</f>
        <v/>
      </c>
    </row>
    <row r="397" ht="15" customHeight="1" s="12">
      <c r="A397" s="20" t="n"/>
      <c r="B397" s="20" t="n"/>
      <c r="C397" s="20" t="n"/>
      <c r="D397" s="20" t="n"/>
      <c r="E397" s="20" t="n"/>
      <c r="F397" s="20" t="n"/>
      <c r="G397" s="20" t="n"/>
      <c r="H397" s="20" t="n"/>
      <c r="I397" s="20" t="n"/>
      <c r="J397" s="20" t="n"/>
      <c r="K397" s="11">
        <f>IF(OR(F397="",J397=""),"",IF(F397=J397,1,0))</f>
        <v/>
      </c>
    </row>
    <row r="398" ht="15" customHeight="1" s="12">
      <c r="A398" s="20" t="n"/>
      <c r="B398" s="20" t="n"/>
      <c r="C398" s="20" t="n"/>
      <c r="D398" s="20" t="n"/>
      <c r="E398" s="20" t="n"/>
      <c r="F398" s="20" t="n"/>
      <c r="G398" s="20" t="n"/>
      <c r="H398" s="20" t="n"/>
      <c r="I398" s="20" t="n"/>
      <c r="J398" s="20" t="n"/>
      <c r="K398" s="11">
        <f>IF(OR(F398="",J398=""),"",IF(F398=J398,1,0))</f>
        <v/>
      </c>
    </row>
    <row r="399" ht="15" customHeight="1" s="12">
      <c r="A399" s="20" t="n"/>
      <c r="B399" s="20" t="n"/>
      <c r="C399" s="20" t="n"/>
      <c r="D399" s="20" t="n"/>
      <c r="E399" s="20" t="n"/>
      <c r="F399" s="20" t="n"/>
      <c r="G399" s="20" t="n"/>
      <c r="H399" s="20" t="n"/>
      <c r="I399" s="20" t="n"/>
      <c r="J399" s="20" t="n"/>
      <c r="K399" s="11">
        <f>IF(OR(F399="",J399=""),"",IF(F399=J399,1,0))</f>
        <v/>
      </c>
    </row>
    <row r="400" ht="15" customHeight="1" s="12">
      <c r="A400" s="20" t="n"/>
      <c r="B400" s="20" t="n"/>
      <c r="C400" s="20" t="n"/>
      <c r="D400" s="20" t="n"/>
      <c r="E400" s="20" t="n"/>
      <c r="F400" s="20" t="n"/>
      <c r="G400" s="20" t="n"/>
      <c r="H400" s="20" t="n"/>
      <c r="I400" s="20" t="n"/>
      <c r="J400" s="20" t="n"/>
      <c r="K400" s="11">
        <f>IF(OR(F400="",J400=""),"",IF(F400=J400,1,0))</f>
        <v/>
      </c>
    </row>
    <row r="401" ht="15" customHeight="1" s="12">
      <c r="A401" s="20" t="n"/>
      <c r="B401" s="20" t="n"/>
      <c r="C401" s="20" t="n"/>
      <c r="D401" s="20" t="n"/>
      <c r="E401" s="20" t="n"/>
      <c r="F401" s="20" t="n"/>
      <c r="G401" s="20" t="n"/>
      <c r="H401" s="20" t="n"/>
      <c r="I401" s="20" t="n"/>
      <c r="J401" s="20" t="n"/>
      <c r="K401" s="11">
        <f>IF(OR(F401="",J401=""),"",IF(F401=J401,1,0))</f>
        <v/>
      </c>
    </row>
  </sheetData>
  <dataValidations count="4">
    <dataValidation sqref="E2:E401" showDropDown="0" showInputMessage="0" showErrorMessage="0" allowBlank="1" type="list" errorStyle="stop" operator="between">
      <formula1>"Y,N"</formula1>
      <formula2>0</formula2>
    </dataValidation>
    <dataValidation sqref="F2:F401" showDropDown="0" showInputMessage="0" showErrorMessage="0" allowBlank="1" type="list" errorStyle="stop" operator="between">
      <formula1>"Include,Exclude"</formula1>
      <formula2>0</formula2>
    </dataValidation>
    <dataValidation sqref="H2:H401" showDropDown="0" showInputMessage="0" showErrorMessage="0" allowBlank="1" type="list" errorStyle="stop" operator="between">
      <formula1>"Include,Exclude"</formula1>
      <formula2>0</formula2>
    </dataValidation>
    <dataValidation sqref="J2:J401" showDropDown="0" showInputMessage="0" showErrorMessage="0" allowBlank="1" type="list" errorStyle="stop" operator="between">
      <formula1>"Include,Exclude"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5" customWidth="1" style="11" min="1" max="1"/>
  </cols>
  <sheetData>
    <row r="1" ht="15" customHeight="1" s="12">
      <c r="A1" s="21" t="inlineStr">
        <is>
          <t>Stage</t>
        </is>
      </c>
      <c r="B1" s="21" t="inlineStr">
        <is>
          <t>Count</t>
        </is>
      </c>
    </row>
    <row r="2" ht="15" customHeight="1" s="12">
      <c r="A2" s="11" t="inlineStr">
        <is>
          <t>Records identified (all searches)</t>
        </is>
      </c>
      <c r="B2" s="11">
        <f>'Search log'!H40</f>
        <v/>
      </c>
    </row>
    <row r="3" ht="15" customHeight="1" s="12">
      <c r="A3" s="11" t="inlineStr">
        <is>
          <t>Duplicates removed</t>
        </is>
      </c>
      <c r="B3" s="11">
        <f>COUNTIF(Screening!E2:E401,"Y")</f>
        <v/>
      </c>
    </row>
    <row r="4" ht="15" customHeight="1" s="12">
      <c r="A4" s="11" t="inlineStr">
        <is>
          <t>Records screened (title/abstract)</t>
        </is>
      </c>
      <c r="B4" s="11">
        <f>COUNTA(Screening!A2:A401)-B3</f>
        <v/>
      </c>
    </row>
    <row r="5" ht="15" customHeight="1" s="12">
      <c r="A5" s="11" t="inlineStr">
        <is>
          <t>Excluded at title/abstract</t>
        </is>
      </c>
      <c r="B5" s="11">
        <f>COUNTIF(Screening!F2:F401,"Exclude")</f>
        <v/>
      </c>
    </row>
    <row r="6" ht="15" customHeight="1" s="12">
      <c r="A6" s="11" t="inlineStr">
        <is>
          <t>Full texts assessed</t>
        </is>
      </c>
      <c r="B6" s="11">
        <f>COUNTIF(Screening!F2:F401,"Include")</f>
        <v/>
      </c>
    </row>
    <row r="7" ht="15" customHeight="1" s="12">
      <c r="A7" s="11" t="inlineStr">
        <is>
          <t>Excluded at full text</t>
        </is>
      </c>
      <c r="B7" s="11">
        <f>COUNTIF(Screening!H2:H401,"Exclude")</f>
        <v/>
      </c>
    </row>
    <row r="8" ht="15" customHeight="1" s="12">
      <c r="A8" s="11" t="inlineStr">
        <is>
          <t>Included from database search</t>
        </is>
      </c>
      <c r="B8" s="11">
        <f>COUNTIF(Screening!H2:H401,"Include")</f>
        <v/>
      </c>
    </row>
    <row r="9" ht="15" customHeight="1" s="12">
      <c r="A9" s="11" t="inlineStr">
        <is>
          <t>Second-reviewer agreement on double-screened records (%)</t>
        </is>
      </c>
      <c r="B9" s="22">
        <f>IFERROR(AVERAGE(Screening!K2:K401),"")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147"/>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8" customWidth="1" style="11" min="1" max="1"/>
    <col width="7" customWidth="1" style="11" min="2" max="2"/>
    <col width="55" customWidth="1" style="11" min="3" max="3"/>
    <col width="12" customWidth="1" style="11" min="4" max="5"/>
    <col width="14" customWidth="1" style="11" min="6" max="7"/>
    <col width="12" customWidth="1" style="11" min="8" max="10"/>
    <col width="40" customWidth="1" style="11" min="11" max="11"/>
    <col width="30" customWidth="1" style="11" min="12" max="12"/>
    <col width="9" customWidth="1" style="11" min="13" max="13"/>
  </cols>
  <sheetData>
    <row r="1" ht="46.25" customHeight="1" s="12">
      <c r="A1" s="15" t="inlineStr">
        <is>
          <t>Draft v2 ref no.</t>
        </is>
      </c>
      <c r="B1" s="15" t="inlineStr">
        <is>
          <t>Key</t>
        </is>
      </c>
      <c r="C1" s="15" t="inlineStr">
        <is>
          <t>IEEE reference</t>
        </is>
      </c>
      <c r="D1" s="15" t="inlineStr">
        <is>
          <t>Mapping question(s)</t>
        </is>
      </c>
      <c r="E1" s="15" t="inlineStr">
        <is>
          <t>Domain</t>
        </is>
      </c>
      <c r="F1" s="15" t="inlineStr">
        <is>
          <t>Input artefact</t>
        </is>
      </c>
      <c r="G1" s="15" t="inlineStr">
        <is>
          <t>Technique</t>
        </is>
      </c>
      <c r="H1" s="15" t="inlineStr">
        <is>
          <t>Traceability to requirements (Y/P/N)</t>
        </is>
      </c>
      <c r="I1" s="15" t="inlineStr">
        <is>
          <t>Evaluation type</t>
        </is>
      </c>
      <c r="J1" s="15" t="inlineStr">
        <is>
          <t>Hardware (QPU/simulator/classical)</t>
        </is>
      </c>
      <c r="K1" s="15" t="inlineStr">
        <is>
          <t>Key quantitative result (verbatim, with page)</t>
        </is>
      </c>
      <c r="L1" s="15" t="inlineStr">
        <is>
          <t>Limitations stated by authors</t>
        </is>
      </c>
      <c r="M1" s="15" t="inlineStr">
        <is>
          <t>Quality score (0-5)</t>
        </is>
      </c>
    </row>
    <row r="2" ht="46.25" customHeight="1" s="12">
      <c r="A2" s="16" t="n">
        <v>1</v>
      </c>
      <c r="B2" s="16" t="inlineStr">
        <is>
          <t>D2</t>
        </is>
      </c>
      <c r="C2" s="16" t="inlineStr">
        <is>
          <t>National Highway Traffic Safety Administration, Office of Defects Investigation, "ODI resume: Engineering analysis EA26002," Mar. 18, 2026. [Online]. Available: https://static.nhtsa.gov/odi/inv/2026/INOA-EA26002-10023.pdf</t>
        </is>
      </c>
      <c r="D2" s="17" t="n"/>
      <c r="E2" s="17" t="n"/>
      <c r="F2" s="17" t="n"/>
      <c r="G2" s="17" t="n"/>
      <c r="H2" s="17" t="n"/>
      <c r="I2" s="17" t="n"/>
      <c r="J2" s="17" t="n"/>
      <c r="K2" s="17" t="n"/>
      <c r="L2" s="17" t="n"/>
      <c r="M2" s="17" t="n"/>
    </row>
    <row r="3" ht="57.45" customHeight="1" s="12">
      <c r="A3" s="16" t="n">
        <v>2</v>
      </c>
      <c r="B3" s="16" t="inlineStr">
        <is>
          <t>C37</t>
        </is>
      </c>
      <c r="C3" s="16" t="inlineStr">
        <is>
          <t>Commission Implementing Regulation (EU) 2022/1426 of 5 August 2022 laying down rules for the application of Regulation (EU) 2019/2144 as regards uniform procedures and technical specifications for the type-approval of the automated driving system (ADS) of fully automated vehicles, Off. J. Eur. Union, 2022.</t>
        </is>
      </c>
      <c r="D3" s="17" t="inlineStr">
        <is>
          <t>MQ1 (corpus source)</t>
        </is>
      </c>
      <c r="E3" s="17" t="n"/>
      <c r="F3" s="17" t="n"/>
      <c r="G3" s="17" t="n"/>
      <c r="H3" s="17" t="n"/>
      <c r="I3" s="17" t="n"/>
      <c r="J3" s="17" t="n"/>
      <c r="K3" s="17" t="n"/>
      <c r="L3" s="17" t="n"/>
      <c r="M3" s="17" t="n"/>
    </row>
    <row r="4" ht="23.85" customHeight="1" s="12">
      <c r="A4" s="16" t="n">
        <v>3</v>
      </c>
      <c r="B4" s="16" t="inlineStr">
        <is>
          <t>D10</t>
        </is>
      </c>
      <c r="C4" s="16" t="inlineStr">
        <is>
          <t>"Formalization of operational domain and operational design domain for automated vehicles," arXiv:2408.14481, 2024.</t>
        </is>
      </c>
      <c r="D4" s="17" t="n"/>
      <c r="E4" s="17" t="n"/>
      <c r="F4" s="17" t="n"/>
      <c r="G4" s="17" t="n"/>
      <c r="H4" s="17" t="n"/>
      <c r="I4" s="17" t="n"/>
      <c r="J4" s="17" t="n"/>
      <c r="K4" s="17" t="n"/>
      <c r="L4" s="17" t="n"/>
      <c r="M4" s="17" t="n"/>
    </row>
    <row r="5" ht="35.05" customHeight="1" s="12">
      <c r="A5" s="16" t="n">
        <v>4</v>
      </c>
      <c r="B5" s="16" t="inlineStr">
        <is>
          <t>C1</t>
        </is>
      </c>
      <c r="C5" s="16" t="inlineStr">
        <is>
          <t>M. Skoglund, F. Warg, A. Thorsén, H. Hansson, and S. Punnekkat, "Formalizing operational design domains with the Pkl language," arXiv:2509.02221, 2025.</t>
        </is>
      </c>
      <c r="D5" s="17" t="inlineStr">
        <is>
          <t>MQ1</t>
        </is>
      </c>
      <c r="E5" s="17" t="n"/>
      <c r="F5" s="17" t="n"/>
      <c r="G5" s="17" t="n"/>
      <c r="H5" s="17" t="n"/>
      <c r="I5" s="17" t="n"/>
      <c r="J5" s="17" t="n"/>
      <c r="K5" s="17" t="n"/>
      <c r="L5" s="17" t="n"/>
      <c r="M5" s="17" t="n"/>
    </row>
    <row r="6" ht="46.25" customHeight="1" s="12">
      <c r="A6" s="16" t="n">
        <v>5</v>
      </c>
      <c r="B6" s="16" t="inlineStr">
        <is>
          <t>C23</t>
        </is>
      </c>
      <c r="C6" s="16" t="inlineStr">
        <is>
          <t>K. Elmaaroufi, D. Shanker, A. Cismaru, M. Vazquez-Chanlatte, A. Sangiovanni-Vincentelli, M. Zaharia, and S. A. Seshia, "Generating probabilistic scenario programs from natural language," arXiv:2405.03709, 2024.</t>
        </is>
      </c>
      <c r="D6" s="17" t="inlineStr">
        <is>
          <t>MQ2, MQ3, MQ5</t>
        </is>
      </c>
      <c r="E6" s="17" t="n"/>
      <c r="F6" s="17" t="n"/>
      <c r="G6" s="17" t="n"/>
      <c r="H6" s="17" t="n"/>
      <c r="I6" s="17" t="n"/>
      <c r="J6" s="17" t="n"/>
      <c r="K6" s="17" t="n"/>
      <c r="L6" s="17" t="n"/>
      <c r="M6" s="17" t="n"/>
    </row>
    <row r="7" ht="35.05" customHeight="1" s="12">
      <c r="A7" s="16" t="n">
        <v>6</v>
      </c>
      <c r="B7" s="16" t="inlineStr">
        <is>
          <t>C24</t>
        </is>
      </c>
      <c r="C7" s="16" t="inlineStr">
        <is>
          <t>Y. Deng, J. Yao, Z. Tu, M. Zhang, X. Zheng, and T. Zhang, "TARGET: Automated scenario generation from traffic rules for testing autonomous vehicles," arXiv:2305.06018, 2023.</t>
        </is>
      </c>
      <c r="D7" s="17" t="inlineStr">
        <is>
          <t>MQ2, MQ3, MQ5</t>
        </is>
      </c>
      <c r="E7" s="17" t="n"/>
      <c r="F7" s="17" t="n"/>
      <c r="G7" s="17" t="n"/>
      <c r="H7" s="17" t="n"/>
      <c r="I7" s="17" t="n"/>
      <c r="J7" s="17" t="n"/>
      <c r="K7" s="17" t="n"/>
      <c r="L7" s="17" t="n"/>
      <c r="M7" s="17" t="n"/>
    </row>
    <row r="8" ht="79.84999999999999" customHeight="1" s="12">
      <c r="A8" s="16" t="n">
        <v>7</v>
      </c>
      <c r="B8" s="16" t="inlineStr">
        <is>
          <t>C19</t>
        </is>
      </c>
      <c r="C8" s="16" t="inlineStr">
        <is>
          <t>A. Nayak, H. P. Timmapathini, V. Murali, K. Ponnalagu, V. G. Venkoparao, and A. Post, "Req2Spec: Transforming software requirements into formal specifications using natural language processing," in Requirements Engineering: Foundation for Software Quality (REFSQ 2022), Lecture Notes in Computer Science, vol. 13216. Cham, Switzerland: Springer, 2022, pp. 87-95, doi: 10.1007/978-3-030-98464-9_8.</t>
        </is>
      </c>
      <c r="D8" s="17" t="inlineStr">
        <is>
          <t>MQ2</t>
        </is>
      </c>
      <c r="E8" s="17" t="n"/>
      <c r="F8" s="17" t="n"/>
      <c r="G8" s="17" t="n"/>
      <c r="H8" s="17" t="n"/>
      <c r="I8" s="17" t="n"/>
      <c r="J8" s="17" t="n"/>
      <c r="K8" s="17" t="n"/>
      <c r="L8" s="17" t="n"/>
      <c r="M8" s="17" t="n"/>
    </row>
    <row r="9" ht="46.25" customHeight="1" s="12">
      <c r="A9" s="16" t="n">
        <v>8</v>
      </c>
      <c r="B9" s="16" t="inlineStr">
        <is>
          <t>C34</t>
        </is>
      </c>
      <c r="C9" s="16" t="inlineStr">
        <is>
          <t>D. Giannakopoulou, T. Pressburger, A. Mavridou, and J. Schumann, "Automated formalization of structured natural language requirements," Inf. Softw. Technol., vol. 137, Art. no. 106590, 2021, doi: 10.1016/j.infsof.2021.106590.</t>
        </is>
      </c>
      <c r="D9" s="17" t="inlineStr">
        <is>
          <t>MQ2</t>
        </is>
      </c>
      <c r="E9" s="17" t="n"/>
      <c r="F9" s="17" t="n"/>
      <c r="G9" s="17" t="n"/>
      <c r="H9" s="17" t="n"/>
      <c r="I9" s="17" t="n"/>
      <c r="J9" s="17" t="n"/>
      <c r="K9" s="17" t="n"/>
      <c r="L9" s="17" t="n"/>
      <c r="M9" s="17" t="n"/>
    </row>
    <row r="10" ht="46.25" customHeight="1" s="12">
      <c r="A10" s="16" t="n">
        <v>9</v>
      </c>
      <c r="B10" s="16" t="inlineStr">
        <is>
          <t>C33</t>
        </is>
      </c>
      <c r="C10" s="16" t="inlineStr">
        <is>
          <t>F. Klück, Y. Li, J. Tao, and F. Wotawa, "An empirical comparison of combinatorial testing and search-based testing in the context of automated and autonomous driving systems," Inf. Softw. Technol., vol. 160, Art. no. 107225, 2023, doi: 10.1016/j.infsof.2023.107225.</t>
        </is>
      </c>
      <c r="D10" s="17" t="inlineStr">
        <is>
          <t>MQ3, MQ4</t>
        </is>
      </c>
      <c r="E10" s="17" t="n"/>
      <c r="F10" s="17" t="n"/>
      <c r="G10" s="17" t="n"/>
      <c r="H10" s="17" t="n"/>
      <c r="I10" s="17" t="n"/>
      <c r="J10" s="17" t="n"/>
      <c r="K10" s="17" t="n"/>
      <c r="L10" s="17" t="n"/>
      <c r="M10" s="17" t="n"/>
    </row>
    <row r="11" ht="35.05" customHeight="1" s="12">
      <c r="A11" s="16" t="n">
        <v>10</v>
      </c>
      <c r="B11" s="16" t="inlineStr">
        <is>
          <t>D44</t>
        </is>
      </c>
      <c r="C11" s="16" t="inlineStr">
        <is>
          <t>Taxonomy and Definitions for Terms Related to Driving Automation Systems for On-Road Motor Vehicles, SAE J3016_202104, SAE International, 2021.</t>
        </is>
      </c>
      <c r="D11" s="17" t="n"/>
      <c r="E11" s="17" t="n"/>
      <c r="F11" s="17" t="n"/>
      <c r="G11" s="17" t="n"/>
      <c r="H11" s="17" t="n"/>
      <c r="I11" s="17" t="n"/>
      <c r="J11" s="17" t="n"/>
      <c r="K11" s="17" t="n"/>
      <c r="L11" s="17" t="n"/>
      <c r="M11" s="17" t="n"/>
    </row>
    <row r="12" ht="23.85" customHeight="1" s="12">
      <c r="A12" s="16" t="n">
        <v>11</v>
      </c>
      <c r="B12" s="16" t="inlineStr">
        <is>
          <t>D40</t>
        </is>
      </c>
      <c r="C12" s="16" t="inlineStr">
        <is>
          <t>Road Vehicles - Functional Safety, ISO 26262:2018, International Organization for Standardization, Geneva, Switzerland, 2018.</t>
        </is>
      </c>
      <c r="D12" s="17" t="n"/>
      <c r="E12" s="17" t="n"/>
      <c r="F12" s="17" t="n"/>
      <c r="G12" s="17" t="n"/>
      <c r="H12" s="17" t="n"/>
      <c r="I12" s="17" t="n"/>
      <c r="J12" s="17" t="n"/>
      <c r="K12" s="17" t="n"/>
      <c r="L12" s="17" t="n"/>
      <c r="M12" s="17" t="n"/>
    </row>
    <row r="13" ht="35.05" customHeight="1" s="12">
      <c r="A13" s="16" t="n">
        <v>12</v>
      </c>
      <c r="B13" s="16" t="inlineStr">
        <is>
          <t>D41</t>
        </is>
      </c>
      <c r="C13" s="16" t="inlineStr">
        <is>
          <t>Road Vehicles - Safety of the Intended Functionality, ISO 21448:2022, International Organization for Standardization, Geneva, Switzerland, 2022.</t>
        </is>
      </c>
      <c r="D13" s="17" t="n"/>
      <c r="E13" s="17" t="n"/>
      <c r="F13" s="17" t="n"/>
      <c r="G13" s="17" t="n"/>
      <c r="H13" s="17" t="n"/>
      <c r="I13" s="17" t="n"/>
      <c r="J13" s="17" t="n"/>
      <c r="K13" s="17" t="n"/>
      <c r="L13" s="17" t="n"/>
      <c r="M13" s="17" t="n"/>
    </row>
    <row r="14" ht="68.65000000000001" customHeight="1" s="12">
      <c r="A14" s="16" t="n">
        <v>13</v>
      </c>
      <c r="B14" s="16" t="inlineStr">
        <is>
          <t>D8</t>
        </is>
      </c>
      <c r="C14" s="16" t="inlineStr">
        <is>
          <t>S. Mitra, C. Păsăreanu, P. Prabhakar, S. A. Seshia, R. Mangal, Y. Li, C. Watson, D. Gopinath, and H. Yu, "Formal verification techniques for vision-based autonomous systems - A survey," in Principles of Verification: Cycling the Probabilistic Landscape, Lecture Notes in Computer Science, vol. 15262. Cham, Switzerland: Springer, 2025, doi: 10.1007/978-3-031-75778-5_5.</t>
        </is>
      </c>
      <c r="D14" s="17" t="n"/>
      <c r="E14" s="17" t="n"/>
      <c r="F14" s="17" t="n"/>
      <c r="G14" s="17" t="n"/>
      <c r="H14" s="17" t="n"/>
      <c r="I14" s="17" t="n"/>
      <c r="J14" s="17" t="n"/>
      <c r="K14" s="17" t="n"/>
      <c r="L14" s="17" t="n"/>
      <c r="M14" s="17" t="n"/>
    </row>
    <row r="15" ht="46.25" customHeight="1" s="12">
      <c r="A15" s="16" t="n">
        <v>14</v>
      </c>
      <c r="B15" s="16" t="inlineStr">
        <is>
          <t>C21</t>
        </is>
      </c>
      <c r="C15" s="16" t="inlineStr">
        <is>
          <t>S. Riedmaier, T. Ponn, D. Ludwig, B. Schick, and F. Diermeyer, "Survey on scenario-based safety assessment of automated vehicles," IEEE Access, vol. 8, pp. 87456-87477, 2020, doi: 10.1109/ACCESS.2020.2993730.</t>
        </is>
      </c>
      <c r="D15" s="17" t="inlineStr">
        <is>
          <t>MQ3</t>
        </is>
      </c>
      <c r="E15" s="17" t="n"/>
      <c r="F15" s="17" t="n"/>
      <c r="G15" s="17" t="n"/>
      <c r="H15" s="17" t="n"/>
      <c r="I15" s="17" t="n"/>
      <c r="J15" s="17" t="n"/>
      <c r="K15" s="17" t="n"/>
      <c r="L15" s="17" t="n"/>
      <c r="M15" s="17" t="n"/>
    </row>
    <row r="16" ht="46.25" customHeight="1" s="12">
      <c r="A16" s="16" t="n">
        <v>15</v>
      </c>
      <c r="B16" s="16" t="inlineStr">
        <is>
          <t>C31</t>
        </is>
      </c>
      <c r="C16" s="16" t="inlineStr">
        <is>
          <t>C. Amersbach and H. Winner, "Defining required and feasible test coverage for scenario-based validation of highly automated vehicles," in Proc. 22nd IEEE Intelligent Transportation Systems Conf. (ITSC), Auckland, New Zealand, 2019.</t>
        </is>
      </c>
      <c r="D16" s="17" t="inlineStr">
        <is>
          <t>MQ3</t>
        </is>
      </c>
      <c r="E16" s="17" t="n"/>
      <c r="F16" s="17" t="n"/>
      <c r="G16" s="17" t="n"/>
      <c r="H16" s="17" t="n"/>
      <c r="I16" s="17" t="n"/>
      <c r="J16" s="17" t="n"/>
      <c r="K16" s="17" t="n"/>
      <c r="L16" s="17" t="n"/>
      <c r="M16" s="17" t="n"/>
    </row>
    <row r="17" ht="35.05" customHeight="1" s="12">
      <c r="A17" s="16" t="n">
        <v>16</v>
      </c>
      <c r="B17" s="16" t="inlineStr">
        <is>
          <t>D17</t>
        </is>
      </c>
      <c r="C17" s="16" t="inlineStr">
        <is>
          <t>H. Araujo, X. Wang, M. Mousavi, and S. Ali, "Using quantum annealing to generate test cases for cyber-physical systems," arXiv:2504.21684, 2025.</t>
        </is>
      </c>
      <c r="D17" s="17" t="n"/>
      <c r="E17" s="17" t="n"/>
      <c r="F17" s="17" t="n"/>
      <c r="G17" s="17" t="n"/>
      <c r="H17" s="17" t="n"/>
      <c r="I17" s="17" t="n"/>
      <c r="J17" s="17" t="n"/>
      <c r="K17" s="17" t="n"/>
      <c r="L17" s="17" t="n"/>
      <c r="M17" s="17" t="n"/>
    </row>
    <row r="18" ht="35.05" customHeight="1" s="12">
      <c r="A18" s="16" t="n">
        <v>17</v>
      </c>
      <c r="B18" s="16" t="inlineStr">
        <is>
          <t>D18</t>
        </is>
      </c>
      <c r="C18" s="16" t="inlineStr">
        <is>
          <t>A. Trovato, M. Beseda, and D. Di Nucci, "A preliminary investigation on the usage of quantum approximate optimization algorithms for test case selection," arXiv:2504.18955, 2025.</t>
        </is>
      </c>
      <c r="D18" s="17" t="n"/>
      <c r="E18" s="17" t="n"/>
      <c r="F18" s="17" t="n"/>
      <c r="G18" s="17" t="n"/>
      <c r="H18" s="17" t="n"/>
      <c r="I18" s="17" t="n"/>
      <c r="J18" s="17" t="n"/>
      <c r="K18" s="17" t="n"/>
      <c r="L18" s="17" t="n"/>
      <c r="M18" s="17" t="n"/>
    </row>
    <row r="19" ht="35.05" customHeight="1" s="12">
      <c r="A19" s="16" t="n">
        <v>18</v>
      </c>
      <c r="B19" s="16" t="inlineStr">
        <is>
          <t>D19</t>
        </is>
      </c>
      <c r="C19" s="16" t="inlineStr">
        <is>
          <t>X. Wang, A. Muqeet, T. Yue, S. Ali, and P. Arcaini, "Test case minimization with quantum annealers," ACM Trans. Softw. Eng. Methodol., doi: 10.1145/3680467. arXiv:2308.05505.</t>
        </is>
      </c>
      <c r="D19" s="17" t="n"/>
      <c r="E19" s="17" t="n"/>
      <c r="F19" s="17" t="n"/>
      <c r="G19" s="17" t="n"/>
      <c r="H19" s="17" t="n"/>
      <c r="I19" s="17" t="n"/>
      <c r="J19" s="17" t="n"/>
      <c r="K19" s="17" t="n"/>
      <c r="L19" s="17" t="n"/>
      <c r="M19" s="17" t="n"/>
    </row>
    <row r="20" ht="57.45" customHeight="1" s="12">
      <c r="A20" s="16" t="n">
        <v>19</v>
      </c>
      <c r="B20" s="16" t="inlineStr">
        <is>
          <t>C14</t>
        </is>
      </c>
      <c r="C20" s="16" t="inlineStr">
        <is>
          <t>A. Trovato, M. De Stefano, F. Pecorelli, D. Di Nucci, and A. De Lucia, "Reformulating regression test suite optimization using quantum annealing - an empirical study," Int. J. Softw. Tools Technol. Transf., doi: 10.1007/s10009-024-00775-w. arXiv:2411.15963.</t>
        </is>
      </c>
      <c r="D20" s="17" t="inlineStr">
        <is>
          <t>MQ4</t>
        </is>
      </c>
      <c r="E20" s="17" t="n"/>
      <c r="F20" s="17" t="n"/>
      <c r="G20" s="17" t="n"/>
      <c r="H20" s="17" t="n"/>
      <c r="I20" s="17" t="n"/>
      <c r="J20" s="17" t="n"/>
      <c r="K20" s="17" t="n"/>
      <c r="L20" s="17" t="n"/>
      <c r="M20" s="17" t="n"/>
    </row>
    <row r="21" ht="57.45" customHeight="1" s="12">
      <c r="A21" s="16" t="n">
        <v>20</v>
      </c>
      <c r="B21" s="16" t="inlineStr">
        <is>
          <t>D1</t>
        </is>
      </c>
      <c r="C21" s="16" t="inlineStr">
        <is>
          <t>National Transportation Safety Board, "NTSB finds automation overreliance contributed to two fatal Ford BlueCruise crashes," Press Release NR20260331, Mar. 31, 2026. [Online]. Available: https://www.ntsb.gov/news/press-releases/Pages/NR20260331.aspx</t>
        </is>
      </c>
      <c r="D21" s="17" t="n"/>
      <c r="E21" s="17" t="n"/>
      <c r="F21" s="17" t="n"/>
      <c r="G21" s="17" t="n"/>
      <c r="H21" s="17" t="n"/>
      <c r="I21" s="17" t="n"/>
      <c r="J21" s="17" t="n"/>
      <c r="K21" s="17" t="n"/>
      <c r="L21" s="17" t="n"/>
      <c r="M21" s="17" t="n"/>
    </row>
    <row r="22" ht="46.25" customHeight="1" s="12">
      <c r="A22" s="16" t="n">
        <v>21</v>
      </c>
      <c r="B22" s="16" t="inlineStr">
        <is>
          <t>D7</t>
        </is>
      </c>
      <c r="C22" s="16" t="inlineStr">
        <is>
          <t>National Transportation Safety Board, "Investigation HWY26FH008: Automated vehicle strikes pedestrian in school zone, Santa Monica, California," Jan. 23, 2026. [Online]. Available: https://www.ntsb.gov/investigations/Pages/HWY26FH008.aspx</t>
        </is>
      </c>
      <c r="D22" s="17" t="n"/>
      <c r="E22" s="17" t="n"/>
      <c r="F22" s="17" t="n"/>
      <c r="G22" s="17" t="n"/>
      <c r="H22" s="17" t="n"/>
      <c r="I22" s="17" t="n"/>
      <c r="J22" s="17" t="n"/>
      <c r="K22" s="17" t="n"/>
      <c r="L22" s="17" t="n"/>
      <c r="M22" s="17" t="n"/>
    </row>
    <row r="23" ht="46.25" customHeight="1" s="12">
      <c r="A23" s="16" t="n">
        <v>22</v>
      </c>
      <c r="B23" s="16" t="inlineStr">
        <is>
          <t>WAYMOREC</t>
        </is>
      </c>
      <c r="C23" s="16" t="inlineStr">
        <is>
          <t>Waymo LLC, "Part 573 safety recall report 25E-084," National Highway Traffic Safety Administration, Dec. 2025. [Online]. Available: https://static.nhtsa.gov/odi/rcl/2025/RCLRPT-25E084-7732.pdf</t>
        </is>
      </c>
      <c r="D23" s="17" t="n"/>
      <c r="E23" s="17" t="n"/>
      <c r="F23" s="17" t="n"/>
      <c r="G23" s="17" t="n"/>
      <c r="H23" s="17" t="n"/>
      <c r="I23" s="17" t="n"/>
      <c r="J23" s="17" t="n"/>
      <c r="K23" s="17" t="n"/>
      <c r="L23" s="17" t="n"/>
      <c r="M23" s="17" t="n"/>
    </row>
    <row r="24" ht="46.25" customHeight="1" s="12">
      <c r="A24" s="16" t="n">
        <v>23</v>
      </c>
      <c r="B24" s="16" t="inlineStr">
        <is>
          <t>D4</t>
        </is>
      </c>
      <c r="C24" s="16" t="inlineStr">
        <is>
          <t>National Highway Traffic Safety Administration, "Consent order: Cruise crash reporting," Press release, Sep. 30, 2024. [Online]. Available: https://www.nhtsa.gov/press-releases/consent-order-cruise-crash-reporting</t>
        </is>
      </c>
      <c r="D24" s="17" t="n"/>
      <c r="E24" s="17" t="n"/>
      <c r="F24" s="17" t="n"/>
      <c r="G24" s="17" t="n"/>
      <c r="H24" s="17" t="n"/>
      <c r="I24" s="17" t="n"/>
      <c r="J24" s="17" t="n"/>
      <c r="K24" s="17" t="n"/>
      <c r="L24" s="17" t="n"/>
      <c r="M24" s="17" t="n"/>
    </row>
    <row r="25" ht="23.85" customHeight="1" s="12">
      <c r="A25" s="16" t="n">
        <v>24</v>
      </c>
      <c r="B25" s="16" t="inlineStr">
        <is>
          <t>D3</t>
        </is>
      </c>
      <c r="C25" s="16" t="inlineStr">
        <is>
          <t>J. Stempel and A. Roy, "Tesla ordered by Florida jury to pay $243 million in fatal Autopilot crash," Reuters, Aug. 1, 2025.</t>
        </is>
      </c>
      <c r="D25" s="17" t="n"/>
      <c r="E25" s="17" t="n"/>
      <c r="F25" s="17" t="n"/>
      <c r="G25" s="17" t="n"/>
      <c r="H25" s="17" t="n"/>
      <c r="I25" s="17" t="n"/>
      <c r="J25" s="17" t="n"/>
      <c r="K25" s="17" t="n"/>
      <c r="L25" s="17" t="n"/>
      <c r="M25" s="17" t="n"/>
    </row>
    <row r="26" ht="35.05" customHeight="1" s="12">
      <c r="A26" s="16" t="n">
        <v>25</v>
      </c>
      <c r="B26" s="16" t="inlineStr">
        <is>
          <t>KITCH</t>
        </is>
      </c>
      <c r="C26" s="16" t="inlineStr">
        <is>
          <t>B. Kitchenham and S. Charters, "Guidelines for performing systematic literature reviews in software engineering," Keele Univ. and Durham Univ., Tech. Rep. EBSE-2007-01, 2007.</t>
        </is>
      </c>
      <c r="D26" s="17" t="n"/>
      <c r="E26" s="17" t="n"/>
      <c r="F26" s="17" t="n"/>
      <c r="G26" s="17" t="n"/>
      <c r="H26" s="17" t="n"/>
      <c r="I26" s="17" t="n"/>
      <c r="J26" s="17" t="n"/>
      <c r="K26" s="17" t="n"/>
      <c r="L26" s="17" t="n"/>
      <c r="M26" s="17" t="n"/>
    </row>
    <row r="27" ht="35.05" customHeight="1" s="12">
      <c r="A27" s="16" t="n">
        <v>26</v>
      </c>
      <c r="B27" s="16" t="inlineStr">
        <is>
          <t>PETER</t>
        </is>
      </c>
      <c r="C27" s="16" t="inlineStr">
        <is>
          <t>K. Petersen, S. Vakkalanka, and L. Kuzniarz, "Guidelines for conducting systematic mapping studies in software engineering: An update," Inf. Softw. Technol., vol. 64, pp. 1-18, 2015.</t>
        </is>
      </c>
      <c r="D27" s="17" t="n"/>
      <c r="E27" s="17" t="n"/>
      <c r="F27" s="17" t="n"/>
      <c r="G27" s="17" t="n"/>
      <c r="H27" s="17" t="n"/>
      <c r="I27" s="17" t="n"/>
      <c r="J27" s="17" t="n"/>
      <c r="K27" s="17" t="n"/>
      <c r="L27" s="17" t="n"/>
      <c r="M27" s="17" t="n"/>
    </row>
    <row r="28" ht="46.25" customHeight="1" s="12">
      <c r="A28" s="16" t="n">
        <v>27</v>
      </c>
      <c r="B28" s="16" t="inlineStr">
        <is>
          <t>WOHLIN</t>
        </is>
      </c>
      <c r="C28" s="16" t="inlineStr">
        <is>
          <t>C. Wohlin, "Guidelines for snowballing in systematic literature studies and a replication in software engineering," in Proc. 18th Int. Conf. Evaluation and Assessment in Software Engineering (EASE), 2014, doi: 10.1145/2601248.2601268.</t>
        </is>
      </c>
      <c r="D28" s="17" t="n"/>
      <c r="E28" s="17" t="n"/>
      <c r="F28" s="17" t="n"/>
      <c r="G28" s="17" t="n"/>
      <c r="H28" s="17" t="n"/>
      <c r="I28" s="17" t="n"/>
      <c r="J28" s="17" t="n"/>
      <c r="K28" s="17" t="n"/>
      <c r="L28" s="17" t="n"/>
      <c r="M28" s="17" t="n"/>
    </row>
    <row r="29" ht="35.05" customHeight="1" s="12">
      <c r="A29" s="16" t="n">
        <v>28</v>
      </c>
      <c r="B29" s="16" t="inlineStr">
        <is>
          <t>PRISMA</t>
        </is>
      </c>
      <c r="C29" s="16" t="inlineStr">
        <is>
          <t>M. J. Page et al., "The PRISMA 2020 statement: An updated guideline for reporting systematic reviews," BMJ, vol. 372, Art. no. n71, 2021.</t>
        </is>
      </c>
      <c r="D29" s="17" t="n"/>
      <c r="E29" s="17" t="n"/>
      <c r="F29" s="17" t="n"/>
      <c r="G29" s="17" t="n"/>
      <c r="H29" s="17" t="n"/>
      <c r="I29" s="17" t="n"/>
      <c r="J29" s="17" t="n"/>
      <c r="K29" s="17" t="n"/>
      <c r="L29" s="17" t="n"/>
      <c r="M29" s="17" t="n"/>
    </row>
    <row r="30" ht="35.05" customHeight="1" s="12">
      <c r="A30" s="16" t="n">
        <v>29</v>
      </c>
      <c r="B30" s="16" t="inlineStr">
        <is>
          <t>D21</t>
        </is>
      </c>
      <c r="C30" s="16" t="inlineStr">
        <is>
          <t>E. M. Clarke, "The birth of model checking," in 25 Years of Model Checking, Lecture Notes in Computer Science, vol. 5000. Berlin, Germany: Springer, 2008, pp. 1-26, doi: 10.1007/978-3-540-69850-0_1.</t>
        </is>
      </c>
      <c r="D30" s="17" t="n"/>
      <c r="E30" s="17" t="n"/>
      <c r="F30" s="17" t="n"/>
      <c r="G30" s="17" t="n"/>
      <c r="H30" s="17" t="n"/>
      <c r="I30" s="17" t="n"/>
      <c r="J30" s="17" t="n"/>
      <c r="K30" s="17" t="n"/>
      <c r="L30" s="17" t="n"/>
      <c r="M30" s="17" t="n"/>
    </row>
    <row r="31" ht="46.25" customHeight="1" s="12">
      <c r="A31" s="16" t="n">
        <v>30</v>
      </c>
      <c r="B31" s="16" t="inlineStr">
        <is>
          <t>S64</t>
        </is>
      </c>
      <c r="C31" s="16" t="inlineStr">
        <is>
          <t>M. Luckcuck, M. Farrell, L. A. Dennis, C. Dixon, and M. Fisher, "Formal specification and verification of autonomous robotic systems: A survey," ACM Comput. Surv., vol. 52, no. 5, pp. 1-41, 2019, doi: 10.1145/3342355.</t>
        </is>
      </c>
      <c r="D31" s="17" t="n"/>
      <c r="E31" s="17" t="n"/>
      <c r="F31" s="17" t="n"/>
      <c r="G31" s="17" t="n"/>
      <c r="H31" s="17" t="n"/>
      <c r="I31" s="17" t="n"/>
      <c r="J31" s="17" t="n"/>
      <c r="K31" s="17" t="n"/>
      <c r="L31" s="17" t="n"/>
      <c r="M31" s="17" t="n"/>
    </row>
    <row r="32" ht="35.05" customHeight="1" s="12">
      <c r="A32" s="16" t="n">
        <v>31</v>
      </c>
      <c r="B32" s="16" t="inlineStr">
        <is>
          <t>S63</t>
        </is>
      </c>
      <c r="C32" s="16" t="inlineStr">
        <is>
          <t>C. Menghi, C. Tsigkanos, P. Pelliccione, C. Ghezzi, and T. Berger, "Specification patterns for robotic missions," IEEE Trans. Softw. Eng., vol. 47, no. 10, pp. 2208-2224, 2021 (IEEE Xplore document 8859226).</t>
        </is>
      </c>
      <c r="D32" s="17" t="n"/>
      <c r="E32" s="17" t="n"/>
      <c r="F32" s="17" t="n"/>
      <c r="G32" s="17" t="n"/>
      <c r="H32" s="17" t="n"/>
      <c r="I32" s="17" t="n"/>
      <c r="J32" s="17" t="n"/>
      <c r="K32" s="17" t="n"/>
      <c r="L32" s="17" t="n"/>
      <c r="M32" s="17" t="n"/>
    </row>
    <row r="33" ht="68.65000000000001" customHeight="1" s="12">
      <c r="A33" s="16" t="n">
        <v>32</v>
      </c>
      <c r="B33" s="16" t="inlineStr">
        <is>
          <t>S27</t>
        </is>
      </c>
      <c r="C33" s="16" t="inlineStr">
        <is>
          <t>L. Armborst, D. Beyer, M. Huisman, and M. Lingsch-Rosenfeld, "AutoSV-Annotator: Integrating deductive and automatic software verification," in Formal Methods for Industrial Critical Systems (FMICS 2025), Lecture Notes in Computer Science, vol. 16040. Cham, Switzerland: Springer, 2025, pp. 59-77, doi: 10.1007/978-3-032-00942-5_4.</t>
        </is>
      </c>
      <c r="D33" s="17" t="n"/>
      <c r="E33" s="17" t="n"/>
      <c r="F33" s="17" t="n"/>
      <c r="G33" s="17" t="n"/>
      <c r="H33" s="17" t="n"/>
      <c r="I33" s="17" t="n"/>
      <c r="J33" s="17" t="n"/>
      <c r="K33" s="17" t="n"/>
      <c r="L33" s="17" t="n"/>
      <c r="M33" s="17" t="n"/>
    </row>
    <row r="34" ht="57.45" customHeight="1" s="12">
      <c r="A34" s="16" t="n">
        <v>33</v>
      </c>
      <c r="B34" s="16" t="inlineStr">
        <is>
          <t>S24</t>
        </is>
      </c>
      <c r="C34" s="16" t="inlineStr">
        <is>
          <t>M. Kodetzki, T. Bordis, T. Runge, and I. Schaefer, "Partial proofs to optimize deductive verification of feature-oriented software product lines," in Proc. 18th Int. Working Conf. Variability Modelling of Software-Intensive Systems (VaMoS), 2024, pp. 17-26, doi: 10.1145/3634713.3634714.</t>
        </is>
      </c>
      <c r="D34" s="17" t="n"/>
      <c r="E34" s="17" t="n"/>
      <c r="F34" s="17" t="n"/>
      <c r="G34" s="17" t="n"/>
      <c r="H34" s="17" t="n"/>
      <c r="I34" s="17" t="n"/>
      <c r="J34" s="17" t="n"/>
      <c r="K34" s="17" t="n"/>
      <c r="L34" s="17" t="n"/>
      <c r="M34" s="17" t="n"/>
    </row>
    <row r="35" ht="35.05" customHeight="1" s="12">
      <c r="A35" s="16" t="n">
        <v>34</v>
      </c>
      <c r="B35" s="16" t="inlineStr">
        <is>
          <t>S25</t>
        </is>
      </c>
      <c r="C35" s="16" t="inlineStr">
        <is>
          <t>L. S. Brugger, X. Denis, and P. Müller, "Toward practical deductive verification: Insights from a qualitative survey in industry and academia," arXiv:2510.20514, 2025.</t>
        </is>
      </c>
      <c r="D35" s="17" t="n"/>
      <c r="E35" s="17" t="n"/>
      <c r="F35" s="17" t="n"/>
      <c r="G35" s="17" t="n"/>
      <c r="H35" s="17" t="n"/>
      <c r="I35" s="17" t="n"/>
      <c r="J35" s="17" t="n"/>
      <c r="K35" s="17" t="n"/>
      <c r="L35" s="17" t="n"/>
      <c r="M35" s="17" t="n"/>
    </row>
    <row r="36" ht="57.45" customHeight="1" s="12">
      <c r="A36" s="16" t="n">
        <v>35</v>
      </c>
      <c r="B36" s="16" t="inlineStr">
        <is>
          <t>S23</t>
        </is>
      </c>
      <c r="C36" s="16" t="inlineStr">
        <is>
          <t>R. Hähnle and M. Huisman, "Deductive software verification: From pen-and-paper proofs to industrial tools," in Computing and Software Science, Lecture Notes in Computer Science, vol. 10000. Cham, Switzerland: Springer, 2019, pp. 345-373, doi: 10.1007/978-3-319-91908-9_18.</t>
        </is>
      </c>
      <c r="D36" s="17" t="n"/>
      <c r="E36" s="17" t="n"/>
      <c r="F36" s="17" t="n"/>
      <c r="G36" s="17" t="n"/>
      <c r="H36" s="17" t="n"/>
      <c r="I36" s="17" t="n"/>
      <c r="J36" s="17" t="n"/>
      <c r="K36" s="17" t="n"/>
      <c r="L36" s="17" t="n"/>
      <c r="M36" s="17" t="n"/>
    </row>
    <row r="37" ht="57.45" customHeight="1" s="12">
      <c r="A37" s="16" t="n">
        <v>36</v>
      </c>
      <c r="B37" s="16" t="inlineStr">
        <is>
          <t>S8</t>
        </is>
      </c>
      <c r="C37" s="16" t="inlineStr">
        <is>
          <t>D. Beyer and J. Strejček, "Improvements in software verification and witness validation: SV-COMP 2025," in Tools and Algorithms for the Construction and Analysis of Systems (TACAS 2025), Lecture Notes in Computer Science. Cham, Switzerland: Springer, 2025, pp. 151-186, doi: 10.1007/978-3-031-90660-2_9.</t>
        </is>
      </c>
      <c r="D37" s="17" t="n"/>
      <c r="E37" s="17" t="n"/>
      <c r="F37" s="17" t="n"/>
      <c r="G37" s="17" t="n"/>
      <c r="H37" s="17" t="n"/>
      <c r="I37" s="17" t="n"/>
      <c r="J37" s="17" t="n"/>
      <c r="K37" s="17" t="n"/>
      <c r="L37" s="17" t="n"/>
      <c r="M37" s="17" t="n"/>
    </row>
    <row r="38" ht="35.05" customHeight="1" s="12">
      <c r="A38" s="16" t="n">
        <v>37</v>
      </c>
      <c r="B38" s="16" t="inlineStr">
        <is>
          <t>D67</t>
        </is>
      </c>
      <c r="C38" s="16" t="inlineStr">
        <is>
          <t>S. Shalev-Shwartz, S. Shammah, and A. Shashua, "On a formal model of safe and scalable self-driving cars," arXiv:1708.06374, 2017.</t>
        </is>
      </c>
      <c r="D38" s="17" t="n"/>
      <c r="E38" s="17" t="n"/>
      <c r="F38" s="17" t="n"/>
      <c r="G38" s="17" t="n"/>
      <c r="H38" s="17" t="n"/>
      <c r="I38" s="17" t="n"/>
      <c r="J38" s="17" t="n"/>
      <c r="K38" s="17" t="n"/>
      <c r="L38" s="17" t="n"/>
      <c r="M38" s="17" t="n"/>
    </row>
    <row r="39" ht="35.05" customHeight="1" s="12">
      <c r="A39" s="16" t="n">
        <v>38</v>
      </c>
      <c r="B39" s="16" t="inlineStr">
        <is>
          <t>D66</t>
        </is>
      </c>
      <c r="C39" s="16" t="inlineStr">
        <is>
          <t>Operational Design Domain (ODD) Taxonomy for an Automated Driving System (ADS) - Specification, BSI PAS 1883:2020, British Standards Institution, London, U.K., 2020.</t>
        </is>
      </c>
      <c r="D39" s="17" t="n"/>
      <c r="E39" s="17" t="n"/>
      <c r="F39" s="17" t="n"/>
      <c r="G39" s="17" t="n"/>
      <c r="H39" s="17" t="n"/>
      <c r="I39" s="17" t="n"/>
      <c r="J39" s="17" t="n"/>
      <c r="K39" s="17" t="n"/>
      <c r="L39" s="17" t="n"/>
      <c r="M39" s="17" t="n"/>
    </row>
    <row r="40" ht="46.25" customHeight="1" s="12">
      <c r="A40" s="16" t="n">
        <v>39</v>
      </c>
      <c r="B40" s="16" t="inlineStr">
        <is>
          <t>C6</t>
        </is>
      </c>
      <c r="C40" s="16" t="inlineStr">
        <is>
          <t>Road Vehicles - Test Scenarios for Automated Driving Systems - Specification for Operational Design Domain, ISO 34503:2023, International Organization for Standardization, Geneva, Switzerland, 2023.</t>
        </is>
      </c>
      <c r="D40" s="17" t="inlineStr">
        <is>
          <t>MQ1</t>
        </is>
      </c>
      <c r="E40" s="17" t="n"/>
      <c r="F40" s="17" t="n"/>
      <c r="G40" s="17" t="n"/>
      <c r="H40" s="17" t="n"/>
      <c r="I40" s="17" t="n"/>
      <c r="J40" s="17" t="n"/>
      <c r="K40" s="17" t="n"/>
      <c r="L40" s="17" t="n"/>
      <c r="M40" s="17" t="n"/>
    </row>
    <row r="41" ht="57.45" customHeight="1" s="12">
      <c r="A41" s="16" t="n">
        <v>40</v>
      </c>
      <c r="B41" s="16" t="inlineStr">
        <is>
          <t>C7</t>
        </is>
      </c>
      <c r="C41" s="16" t="inlineStr">
        <is>
          <t>ASAM e.V., "ASAM OpenODD, version 1.0.0," Apr. 3, 2025. [Online]. Available: https://publications.pages.asam.net/standards/ASAM_OpenODD/ASAM_OpenODD/latest/specification/00_preface/00_introduction.html</t>
        </is>
      </c>
      <c r="D41" s="17" t="inlineStr">
        <is>
          <t>MQ1</t>
        </is>
      </c>
      <c r="E41" s="17" t="n"/>
      <c r="F41" s="17" t="n"/>
      <c r="G41" s="17" t="n"/>
      <c r="H41" s="17" t="n"/>
      <c r="I41" s="17" t="n"/>
      <c r="J41" s="17" t="n"/>
      <c r="K41" s="17" t="n"/>
      <c r="L41" s="17" t="n"/>
      <c r="M41" s="17" t="n"/>
    </row>
    <row r="42" ht="46.25" customHeight="1" s="12">
      <c r="A42" s="16" t="n">
        <v>41</v>
      </c>
      <c r="B42" s="16" t="inlineStr">
        <is>
          <t>C3</t>
        </is>
      </c>
      <c r="C42" s="16" t="inlineStr">
        <is>
          <t>M. Aguirre Mehlhorn, A. Richter, and Y. A. W. Shardt, "Ruling the operational boundaries: A survey on operational design domains of autonomous driving systems," IFAC-PapersOnLine, vol. 56, no. 2, pp. 2202-2213, 2023, doi: 10.1016/j.ifacol.2023.10.1128.</t>
        </is>
      </c>
      <c r="D42" s="17" t="inlineStr">
        <is>
          <t>MQ1</t>
        </is>
      </c>
      <c r="E42" s="17" t="n"/>
      <c r="F42" s="17" t="n"/>
      <c r="G42" s="17" t="n"/>
      <c r="H42" s="17" t="n"/>
      <c r="I42" s="17" t="n"/>
      <c r="J42" s="17" t="n"/>
      <c r="K42" s="17" t="n"/>
      <c r="L42" s="17" t="n"/>
      <c r="M42" s="17" t="n"/>
    </row>
    <row r="43" ht="46.25" customHeight="1" s="12">
      <c r="A43" s="16" t="n">
        <v>42</v>
      </c>
      <c r="B43" s="16" t="inlineStr">
        <is>
          <t>C13</t>
        </is>
      </c>
      <c r="C43" s="16" t="inlineStr">
        <is>
          <t>H. Xu, Y. Li, H. Qin, Y. Bian, S. Jiang, W. Que, and J. Man, "Ensuring safe operation of autonomous vehicle: A comprehensive survey of operational design condition," Accid. Anal. Prev., vol. 227, Art. no. 108366, 2026, doi: 10.1016/j.aap.2025.108366.</t>
        </is>
      </c>
      <c r="D43" s="17" t="inlineStr">
        <is>
          <t>MQ1</t>
        </is>
      </c>
      <c r="E43" s="17" t="n"/>
      <c r="F43" s="17" t="n"/>
      <c r="G43" s="17" t="n"/>
      <c r="H43" s="17" t="n"/>
      <c r="I43" s="17" t="n"/>
      <c r="J43" s="17" t="n"/>
      <c r="K43" s="17" t="n"/>
      <c r="L43" s="17" t="n"/>
      <c r="M43" s="17" t="n"/>
    </row>
    <row r="44" ht="46.25" customHeight="1" s="12">
      <c r="A44" s="16" t="n">
        <v>43</v>
      </c>
      <c r="B44" s="16" t="inlineStr">
        <is>
          <t>C2</t>
        </is>
      </c>
      <c r="C44" s="16" t="inlineStr">
        <is>
          <t>D. Hillen, M. Lorenz, J. Reich, R. Adler, P. Wolf, S. A. Zafar, and A. Salvi, "Navigating the landscape of operational design domains: A comprehensive mapping study," Next Res., vol. 2, no. 4, Art. no. 101036, 2025, doi: 10.1016/j.nexres.2025.101036.</t>
        </is>
      </c>
      <c r="D44" s="17" t="inlineStr">
        <is>
          <t>MQ1, MQ3, MQ5</t>
        </is>
      </c>
      <c r="E44" s="17" t="n"/>
      <c r="F44" s="17" t="n"/>
      <c r="G44" s="17" t="n"/>
      <c r="H44" s="17" t="n"/>
      <c r="I44" s="17" t="n"/>
      <c r="J44" s="17" t="n"/>
      <c r="K44" s="17" t="n"/>
      <c r="L44" s="17" t="n"/>
      <c r="M44" s="17" t="n"/>
    </row>
    <row r="45" ht="35.05" customHeight="1" s="12">
      <c r="A45" s="16" t="n">
        <v>44</v>
      </c>
      <c r="B45" s="16" t="inlineStr">
        <is>
          <t>C11</t>
        </is>
      </c>
      <c r="C45" s="16" t="inlineStr">
        <is>
          <t>M. Ito, "ODD description methods for automated driving vehicle and verifiability for safety," J. Univers. Comput. Sci., vol. 27, no. 8, pp. 796-810, 2021, doi: 10.3897/jucs.72333.</t>
        </is>
      </c>
      <c r="D45" s="17" t="inlineStr">
        <is>
          <t>MQ1</t>
        </is>
      </c>
      <c r="E45" s="17" t="n"/>
      <c r="F45" s="17" t="n"/>
      <c r="G45" s="17" t="n"/>
      <c r="H45" s="17" t="n"/>
      <c r="I45" s="17" t="n"/>
      <c r="J45" s="17" t="n"/>
      <c r="K45" s="17" t="n"/>
      <c r="L45" s="17" t="n"/>
      <c r="M45" s="17" t="n"/>
    </row>
    <row r="46" ht="57.45" customHeight="1" s="12">
      <c r="A46" s="16" t="n">
        <v>45</v>
      </c>
      <c r="B46" s="16" t="inlineStr">
        <is>
          <t>C5</t>
        </is>
      </c>
      <c r="C46" s="16" t="inlineStr">
        <is>
          <t>L. Mendiboure, M. L. Benzagouta, D. Gruyer, T. Sylla, M. Adedjouma, and A. Hedhli, "Operational design domain for automated driving systems: Taxonomy definition and application," in Proc. IEEE Intelligent Vehicles Symp. (IV), 2023, doi: 10.1109/IV55152.2023.10186765.</t>
        </is>
      </c>
      <c r="D46" s="17" t="inlineStr">
        <is>
          <t>MQ1</t>
        </is>
      </c>
      <c r="E46" s="17" t="n"/>
      <c r="F46" s="17" t="n"/>
      <c r="G46" s="17" t="n"/>
      <c r="H46" s="17" t="n"/>
      <c r="I46" s="17" t="n"/>
      <c r="J46" s="17" t="n"/>
      <c r="K46" s="17" t="n"/>
      <c r="L46" s="17" t="n"/>
      <c r="M46" s="17" t="n"/>
    </row>
    <row r="47" ht="68.65000000000001" customHeight="1" s="12">
      <c r="A47" s="16" t="n">
        <v>46</v>
      </c>
      <c r="B47" s="16" t="inlineStr">
        <is>
          <t>C8</t>
        </is>
      </c>
      <c r="C47" s="16" t="inlineStr">
        <is>
          <t>M. Gyllenhammar, R. Johansson, F. Warg, D. Chen, H.-M. Heyn, M. Sanfridson, J. Söderberg, A. Thorsén, and S. Ursing, "Towards an operational design domain that supports the safety argumentation of an automated driving system," in Proc. 10th European Congress on Embedded Real Time Systems (ERTS), Toulouse, France, 2020.</t>
        </is>
      </c>
      <c r="D47" s="17" t="inlineStr">
        <is>
          <t>MQ1</t>
        </is>
      </c>
      <c r="E47" s="17" t="n"/>
      <c r="F47" s="17" t="n"/>
      <c r="G47" s="17" t="n"/>
      <c r="H47" s="17" t="n"/>
      <c r="I47" s="17" t="n"/>
      <c r="J47" s="17" t="n"/>
      <c r="K47" s="17" t="n"/>
      <c r="L47" s="17" t="n"/>
      <c r="M47" s="17" t="n"/>
    </row>
    <row r="48" ht="35.05" customHeight="1" s="12">
      <c r="A48" s="16" t="n">
        <v>47</v>
      </c>
      <c r="B48" s="16" t="inlineStr">
        <is>
          <t>C12</t>
        </is>
      </c>
      <c r="C48" s="16" t="inlineStr">
        <is>
          <t>"Identifying the operational design domain for an automated driving system through assessed risk," IEEE conference paper, IEEE Xplore document 9304552.</t>
        </is>
      </c>
      <c r="D48" s="17" t="inlineStr">
        <is>
          <t>MQ1</t>
        </is>
      </c>
      <c r="E48" s="17" t="n"/>
      <c r="F48" s="17" t="n"/>
      <c r="G48" s="17" t="n"/>
      <c r="H48" s="17" t="n"/>
      <c r="I48" s="17" t="n"/>
      <c r="J48" s="17" t="n"/>
      <c r="K48" s="17" t="n"/>
      <c r="L48" s="17" t="n"/>
      <c r="M48" s="17" t="n"/>
    </row>
    <row r="49" ht="68.65000000000001" customHeight="1" s="12">
      <c r="A49" s="16" t="n">
        <v>48</v>
      </c>
      <c r="B49" s="16" t="inlineStr">
        <is>
          <t>C4</t>
        </is>
      </c>
      <c r="C49" s="16" t="inlineStr">
        <is>
          <t>H. Torfah, C. Xie, S. Junges, M. Vazquez-Chanlatte, and S. A. Seshia, "Learning monitorable operational design domains for assured autonomy," in Automated Technology for Verification and Analysis (ATVA 2022), Lecture Notes in Computer Science, vol. 13505. Cham, Switzerland: Springer, 2022, pp. 3-22, doi: 10.1007/978-3-031-19992-9_1.</t>
        </is>
      </c>
      <c r="D49" s="17" t="inlineStr">
        <is>
          <t>MQ1</t>
        </is>
      </c>
      <c r="E49" s="17" t="n"/>
      <c r="F49" s="17" t="n"/>
      <c r="G49" s="17" t="n"/>
      <c r="H49" s="17" t="n"/>
      <c r="I49" s="17" t="n"/>
      <c r="J49" s="17" t="n"/>
      <c r="K49" s="17" t="n"/>
      <c r="L49" s="17" t="n"/>
      <c r="M49" s="17" t="n"/>
    </row>
    <row r="50" ht="35.05" customHeight="1" s="12">
      <c r="A50" s="16" t="n">
        <v>49</v>
      </c>
      <c r="B50" s="16" t="inlineStr">
        <is>
          <t>D11</t>
        </is>
      </c>
      <c r="C50" s="16" t="inlineStr">
        <is>
          <t>H. Xu, Y. Bian, Y. Li, H. Qin, H. Zhou, F. Chang, S. Wang, and Q. Ye, "Learnable operational design condition monitor for failure prediction in autonomous driving," Accid. Anal. Prev., vol. 220, Art. no. 108139, 2025, doi: 10.1016/j.aap.2025.108139.</t>
        </is>
      </c>
      <c r="D50" s="17" t="n"/>
      <c r="E50" s="17" t="n"/>
      <c r="F50" s="17" t="n"/>
      <c r="G50" s="17" t="n"/>
      <c r="H50" s="17" t="n"/>
      <c r="I50" s="17" t="n"/>
      <c r="J50" s="17" t="n"/>
      <c r="K50" s="17" t="n"/>
      <c r="L50" s="17" t="n"/>
      <c r="M50" s="17" t="n"/>
    </row>
    <row r="51" ht="35.05" customHeight="1" s="12">
      <c r="A51" s="16" t="n">
        <v>50</v>
      </c>
      <c r="B51" s="16" t="inlineStr">
        <is>
          <t>D12</t>
        </is>
      </c>
      <c r="C51" s="16" t="inlineStr">
        <is>
          <t>F. Schaller, R. Ehlers, I. Aslam, A. Deshpande, R. Gräfe, W. Guedri, N. Habib, N. Maslov, A. Rausch, S. S. Qutub, and M. Zhang, "Addressing SOTIF with a runtime monitor ensemble for AI-based perception systems," Discover Artif. Intell., vol. 6, no. 1, 2026, doi: 10.1007/s44163-026-02186-z.</t>
        </is>
      </c>
      <c r="D51" s="17" t="n"/>
      <c r="E51" s="17" t="n"/>
      <c r="F51" s="17" t="n"/>
      <c r="G51" s="17" t="n"/>
      <c r="H51" s="17" t="n"/>
      <c r="I51" s="17" t="n"/>
      <c r="J51" s="17" t="n"/>
      <c r="K51" s="17" t="n"/>
      <c r="L51" s="17" t="n"/>
      <c r="M51" s="17" t="n"/>
    </row>
    <row r="52" ht="68.65000000000001" customHeight="1" s="12">
      <c r="A52" s="16" t="n">
        <v>51</v>
      </c>
      <c r="B52" s="16" t="inlineStr">
        <is>
          <t>D51</t>
        </is>
      </c>
      <c r="C52" s="16" t="inlineStr">
        <is>
          <t>E. Bartocci, J. V. Deshmukh, A. Donzé, G. Fainekos, O. Maler, D. Ničković, and S. Sankaranarayanan, "Specification-based monitoring of cyber-physical systems: A survey on theory, tools and applications," in Lectures on Runtime Verification, Lecture Notes in Computer Science, vol. 10457. Cham, Switzerland: Springer, 2018, pp. 135-175, doi: 10.1007/978-3-319-75632-5_5.</t>
        </is>
      </c>
      <c r="D52" s="17" t="n"/>
      <c r="E52" s="17" t="n"/>
      <c r="F52" s="17" t="n"/>
      <c r="G52" s="17" t="n"/>
      <c r="H52" s="17" t="n"/>
      <c r="I52" s="17" t="n"/>
      <c r="J52" s="17" t="n"/>
      <c r="K52" s="17" t="n"/>
      <c r="L52" s="17" t="n"/>
      <c r="M52" s="17" t="n"/>
    </row>
    <row r="53" ht="35.05" customHeight="1" s="12">
      <c r="A53" s="16" t="n">
        <v>52</v>
      </c>
      <c r="B53" s="16" t="inlineStr">
        <is>
          <t>C17</t>
        </is>
      </c>
      <c r="C53" s="16" t="inlineStr">
        <is>
          <t>T. Menzel, G. Bagschik, and M. Maurer, "Scenarios for development, test and validation of automated vehicles," in Proc. IEEE Intelligent Vehicles Symp. (IV), 2018. arXiv:1801.08598.</t>
        </is>
      </c>
      <c r="D53" s="17" t="inlineStr">
        <is>
          <t>MQ3</t>
        </is>
      </c>
      <c r="E53" s="17" t="n"/>
      <c r="F53" s="17" t="n"/>
      <c r="G53" s="17" t="n"/>
      <c r="H53" s="17" t="n"/>
      <c r="I53" s="17" t="n"/>
      <c r="J53" s="17" t="n"/>
      <c r="K53" s="17" t="n"/>
      <c r="L53" s="17" t="n"/>
      <c r="M53" s="17" t="n"/>
    </row>
    <row r="54" ht="46.25" customHeight="1" s="12">
      <c r="A54" s="16" t="n">
        <v>53</v>
      </c>
      <c r="B54" s="16" t="inlineStr">
        <is>
          <t>C27</t>
        </is>
      </c>
      <c r="C54" s="16" t="inlineStr">
        <is>
          <t>Road Vehicles - Test Scenarios for Automated Driving Systems - Scenario Based Safety Evaluation Framework, ISO 34502:2022, International Organization for Standardization, Geneva, Switzerland, 2022.</t>
        </is>
      </c>
      <c r="D54" s="17" t="inlineStr">
        <is>
          <t>MQ3</t>
        </is>
      </c>
      <c r="E54" s="17" t="n"/>
      <c r="F54" s="17" t="n"/>
      <c r="G54" s="17" t="n"/>
      <c r="H54" s="17" t="n"/>
      <c r="I54" s="17" t="n"/>
      <c r="J54" s="17" t="n"/>
      <c r="K54" s="17" t="n"/>
      <c r="L54" s="17" t="n"/>
      <c r="M54" s="17" t="n"/>
    </row>
    <row r="55" ht="35.05" customHeight="1" s="12">
      <c r="A55" s="16" t="n">
        <v>54</v>
      </c>
      <c r="B55" s="16" t="inlineStr">
        <is>
          <t>D31</t>
        </is>
      </c>
      <c r="C55" s="16" t="inlineStr">
        <is>
          <t>B. Schütt, J. Ransiek, T. Braun, and E. Sax, "1001 ways of scenario generation for testing of self-driving cars: A survey," arXiv:2304.10850, 2023.</t>
        </is>
      </c>
      <c r="D55" s="17" t="n"/>
      <c r="E55" s="17" t="n"/>
      <c r="F55" s="17" t="n"/>
      <c r="G55" s="17" t="n"/>
      <c r="H55" s="17" t="n"/>
      <c r="I55" s="17" t="n"/>
      <c r="J55" s="17" t="n"/>
      <c r="K55" s="17" t="n"/>
      <c r="L55" s="17" t="n"/>
      <c r="M55" s="17" t="n"/>
    </row>
    <row r="56" ht="23.85" customHeight="1" s="12">
      <c r="A56" s="16" t="n">
        <v>55</v>
      </c>
      <c r="B56" s="16" t="inlineStr">
        <is>
          <t>D33</t>
        </is>
      </c>
      <c r="C56" s="16" t="inlineStr">
        <is>
          <t>Z. Wang, J. Ma, and E. M.-K. Lai, "A survey of scenario generation for automated vehicle testing and validation," Future Internet, vol. 16, no. 12, Art. no. 480, 2024, doi: 10.3390/fi16120480.</t>
        </is>
      </c>
      <c r="D56" s="17" t="n"/>
      <c r="E56" s="17" t="n"/>
      <c r="F56" s="17" t="n"/>
      <c r="G56" s="17" t="n"/>
      <c r="H56" s="17" t="n"/>
      <c r="I56" s="17" t="n"/>
      <c r="J56" s="17" t="n"/>
      <c r="K56" s="17" t="n"/>
      <c r="L56" s="17" t="n"/>
      <c r="M56" s="17" t="n"/>
    </row>
    <row r="57" ht="46.25" customHeight="1" s="12">
      <c r="A57" s="16" t="n">
        <v>56</v>
      </c>
      <c r="B57" s="16" t="inlineStr">
        <is>
          <t>D32</t>
        </is>
      </c>
      <c r="C57" s="16" t="inlineStr">
        <is>
          <t>W. Ding, C. Xu, M. Arief, H. Lin, B. Li, and D. Zhao, "A survey on safety-critical driving scenario generation: A methodological perspective," IEEE Trans. Intell. Transp. Syst., 2023. arXiv:2202.02215.</t>
        </is>
      </c>
      <c r="D57" s="17" t="n"/>
      <c r="E57" s="17" t="n"/>
      <c r="F57" s="17" t="n"/>
      <c r="G57" s="17" t="n"/>
      <c r="H57" s="17" t="n"/>
      <c r="I57" s="17" t="n"/>
      <c r="J57" s="17" t="n"/>
      <c r="K57" s="17" t="n"/>
      <c r="L57" s="17" t="n"/>
      <c r="M57" s="17" t="n"/>
    </row>
    <row r="58" ht="46.25" customHeight="1" s="12">
      <c r="A58" s="16" t="n">
        <v>57</v>
      </c>
      <c r="B58" s="16" t="inlineStr">
        <is>
          <t>S29</t>
        </is>
      </c>
      <c r="C58" s="16" t="inlineStr">
        <is>
          <t>C. Birchler, S. Khatiri, P. Rani, T. Kehrer, and S. Panichella, "A roadmap for simulation-based testing of autonomous cyber-physical systems: Challenges and future direction," ACM Trans. Softw. Eng. Methodol., vol. 34, no. 5, Art. no. 152, 2025, doi: 10.1145/3711906.</t>
        </is>
      </c>
      <c r="D58" s="17" t="n"/>
      <c r="E58" s="17" t="n"/>
      <c r="F58" s="17" t="n"/>
      <c r="G58" s="17" t="n"/>
      <c r="H58" s="17" t="n"/>
      <c r="I58" s="17" t="n"/>
      <c r="J58" s="17" t="n"/>
      <c r="K58" s="17" t="n"/>
      <c r="L58" s="17" t="n"/>
      <c r="M58" s="17" t="n"/>
    </row>
    <row r="59" ht="46.25" customHeight="1" s="12">
      <c r="A59" s="16" t="n">
        <v>58</v>
      </c>
      <c r="B59" s="16" t="inlineStr">
        <is>
          <t>S6</t>
        </is>
      </c>
      <c r="C59" s="16" t="inlineStr">
        <is>
          <t>A. Forrai, M. Alirezaei, T. Singh, A. Gali, and J. Ploeg, "Virtual verification and validation of autonomous vehicles: Toolchain and workflow," in Modeling and Control of Autonomous Systems. London, U.K.: IntechOpen, 2025, doi: 10.5772/intechopen.1008921.</t>
        </is>
      </c>
      <c r="D59" s="17" t="n"/>
      <c r="E59" s="17" t="n"/>
      <c r="F59" s="17" t="n"/>
      <c r="G59" s="17" t="n"/>
      <c r="H59" s="17" t="n"/>
      <c r="I59" s="17" t="n"/>
      <c r="J59" s="17" t="n"/>
      <c r="K59" s="17" t="n"/>
      <c r="L59" s="17" t="n"/>
      <c r="M59" s="17" t="n"/>
    </row>
    <row r="60" ht="57.45" customHeight="1" s="12">
      <c r="A60" s="16" t="n">
        <v>59</v>
      </c>
      <c r="B60" s="16" t="inlineStr">
        <is>
          <t>S9</t>
        </is>
      </c>
      <c r="C60" s="16" t="inlineStr">
        <is>
          <t>B. Cabrero-Daniel and M. Mohamad, "Challenges of virtual validation and verification for automotive functions," in Proc. Euromicro Conf. Software Engineering and Advanced Applications (SEAA), Lecture Notes in Computer Science. Cham, Switzerland: Springer, 2025, pp. 183-200, doi: 10.1007/978-3-032-04190-6_12.</t>
        </is>
      </c>
      <c r="D60" s="17" t="n"/>
      <c r="E60" s="17" t="n"/>
      <c r="F60" s="17" t="n"/>
      <c r="G60" s="17" t="n"/>
      <c r="H60" s="17" t="n"/>
      <c r="I60" s="17" t="n"/>
      <c r="J60" s="17" t="n"/>
      <c r="K60" s="17" t="n"/>
      <c r="L60" s="17" t="n"/>
      <c r="M60" s="17" t="n"/>
    </row>
    <row r="61" ht="46.25" customHeight="1" s="12">
      <c r="A61" s="16" t="n">
        <v>60</v>
      </c>
      <c r="B61" s="16" t="inlineStr">
        <is>
          <t>S30</t>
        </is>
      </c>
      <c r="C61" s="16" t="inlineStr">
        <is>
          <t>C. Birchler, T. K. Mohammed, P. Rani, T. Nechita, T. Kehrer, and S. Panichella, "How does simulation-based testing for self-driving cars match human perception?," Proc. ACM Softw. Eng., vol. 1, no. FSE, pp. 929-950, 2024, doi: 10.1145/3643768.</t>
        </is>
      </c>
      <c r="D61" s="17" t="n"/>
      <c r="E61" s="17" t="n"/>
      <c r="F61" s="17" t="n"/>
      <c r="G61" s="17" t="n"/>
      <c r="H61" s="17" t="n"/>
      <c r="I61" s="17" t="n"/>
      <c r="J61" s="17" t="n"/>
      <c r="K61" s="17" t="n"/>
      <c r="L61" s="17" t="n"/>
      <c r="M61" s="17" t="n"/>
    </row>
    <row r="62" ht="57.45" customHeight="1" s="12">
      <c r="A62" s="16" t="n">
        <v>61</v>
      </c>
      <c r="B62" s="16" t="inlineStr">
        <is>
          <t>S31</t>
        </is>
      </c>
      <c r="C62" s="16" t="inlineStr">
        <is>
          <t>V. Crespo-Rodriguez, C. Birchler, Neelofar, A. Aleti, and S. Panichella, "The role of road features and vehicle dynamics in cost-effective autonomous vehicles safety testing: Insights from instance space analysis," Inf. Softw. Technol., vol. 195, Art. no. 108123, 2026, doi: 10.1016/j.infsof.2026.108123.</t>
        </is>
      </c>
      <c r="D62" s="17" t="n"/>
      <c r="E62" s="17" t="n"/>
      <c r="F62" s="17" t="n"/>
      <c r="G62" s="17" t="n"/>
      <c r="H62" s="17" t="n"/>
      <c r="I62" s="17" t="n"/>
      <c r="J62" s="17" t="n"/>
      <c r="K62" s="17" t="n"/>
      <c r="L62" s="17" t="n"/>
      <c r="M62" s="17" t="n"/>
    </row>
    <row r="63" ht="57.45" customHeight="1" s="12">
      <c r="A63" s="16" t="n">
        <v>62</v>
      </c>
      <c r="B63" s="16" t="inlineStr">
        <is>
          <t>S33</t>
        </is>
      </c>
      <c r="C63" s="16" t="inlineStr">
        <is>
          <t>E. Aljalbout, J. Xing, A. Romero, I. Akinola, C. R. Garrett, E. Heiden, A. Gupta, T. Hermans, Y. Narang, D. Fox, D. Scaramuzza, and F. Ramos, "The reality gap in robotics: Challenges, solutions, and best practices," Annu. Rev. Control Robot. Auton. Syst., 2026 (accepted). arXiv:2510.20808.</t>
        </is>
      </c>
      <c r="D63" s="17" t="n"/>
      <c r="E63" s="17" t="n"/>
      <c r="F63" s="17" t="n"/>
      <c r="G63" s="17" t="n"/>
      <c r="H63" s="17" t="n"/>
      <c r="I63" s="17" t="n"/>
      <c r="J63" s="17" t="n"/>
      <c r="K63" s="17" t="n"/>
      <c r="L63" s="17" t="n"/>
      <c r="M63" s="17" t="n"/>
    </row>
    <row r="64" ht="57.45" customHeight="1" s="12">
      <c r="A64" s="16" t="n">
        <v>63</v>
      </c>
      <c r="B64" s="16" t="inlineStr">
        <is>
          <t>C22</t>
        </is>
      </c>
      <c r="C64" s="16" t="inlineStr">
        <is>
          <t>D. J. Fremont, T. Dreossi, S. Ghosh, X. Yue, A. L. Sangiovanni-Vincentelli, and S. A. Seshia, "Scenic: A language for scenario specification and scene generation," in Proc. 40th ACM SIGPLAN Conf. Programming Language Design and Implementation (PLDI), 2019, doi: 10.1145/3314221.3314633.</t>
        </is>
      </c>
      <c r="D64" s="17" t="inlineStr">
        <is>
          <t>MQ3</t>
        </is>
      </c>
      <c r="E64" s="17" t="n"/>
      <c r="F64" s="17" t="n"/>
      <c r="G64" s="17" t="n"/>
      <c r="H64" s="17" t="n"/>
      <c r="I64" s="17" t="n"/>
      <c r="J64" s="17" t="n"/>
      <c r="K64" s="17" t="n"/>
      <c r="L64" s="17" t="n"/>
      <c r="M64" s="17" t="n"/>
    </row>
    <row r="65" ht="35.05" customHeight="1" s="12">
      <c r="A65" s="16" t="n">
        <v>64</v>
      </c>
      <c r="B65" s="16" t="inlineStr">
        <is>
          <t>CARLA</t>
        </is>
      </c>
      <c r="C65" s="16" t="inlineStr">
        <is>
          <t>A. Dosovitskiy, G. Ros, F. Codevilla, A. Lopez, and V. Koltun, "CARLA: An open urban driving simulator," in Proc. 1st Annu. Conf. Robot Learning (CoRL), Proc. Mach. Learn. Res., vol. 78, 2017.</t>
        </is>
      </c>
      <c r="D65" s="17" t="n"/>
      <c r="E65" s="17" t="n"/>
      <c r="F65" s="17" t="n"/>
      <c r="G65" s="17" t="n"/>
      <c r="H65" s="17" t="n"/>
      <c r="I65" s="17" t="n"/>
      <c r="J65" s="17" t="n"/>
      <c r="K65" s="17" t="n"/>
      <c r="L65" s="17" t="n"/>
      <c r="M65" s="17" t="n"/>
    </row>
    <row r="66" ht="35.05" customHeight="1" s="12">
      <c r="A66" s="16" t="n">
        <v>65</v>
      </c>
      <c r="B66" s="16" t="inlineStr">
        <is>
          <t>C16</t>
        </is>
      </c>
      <c r="C66" s="16" t="inlineStr">
        <is>
          <t>C. E. Tuncali, G. Fainekos, D. Prokhorov, H. Ito, and J. Kapinski, "Requirements-driven test generation for autonomous vehicles with machine learning components," arXiv:1908.01094, 2019.</t>
        </is>
      </c>
      <c r="D66" s="17" t="inlineStr">
        <is>
          <t>MQ2, MQ3</t>
        </is>
      </c>
      <c r="E66" s="17" t="n"/>
      <c r="F66" s="17" t="n"/>
      <c r="G66" s="17" t="n"/>
      <c r="H66" s="17" t="n"/>
      <c r="I66" s="17" t="n"/>
      <c r="J66" s="17" t="n"/>
      <c r="K66" s="17" t="n"/>
      <c r="L66" s="17" t="n"/>
      <c r="M66" s="17" t="n"/>
    </row>
    <row r="67" ht="46.25" customHeight="1" s="12">
      <c r="A67" s="16" t="n">
        <v>66</v>
      </c>
      <c r="B67" s="16" t="inlineStr">
        <is>
          <t>C20</t>
        </is>
      </c>
      <c r="C67" s="16" t="inlineStr">
        <is>
          <t>S. Khastgir, S. Brewerton, J. Thomas, and P. Jennings, "Systems approach to creating test scenarios for automated driving systems," Reliab. Eng. Syst. Saf., vol. 215, Art. no. 107610, 2021, doi: 10.1016/j.ress.2021.107610.</t>
        </is>
      </c>
      <c r="D67" s="17" t="inlineStr">
        <is>
          <t>MQ3</t>
        </is>
      </c>
      <c r="E67" s="17" t="n"/>
      <c r="F67" s="17" t="n"/>
      <c r="G67" s="17" t="n"/>
      <c r="H67" s="17" t="n"/>
      <c r="I67" s="17" t="n"/>
      <c r="J67" s="17" t="n"/>
      <c r="K67" s="17" t="n"/>
      <c r="L67" s="17" t="n"/>
      <c r="M67" s="17" t="n"/>
    </row>
    <row r="68" ht="46.25" customHeight="1" s="12">
      <c r="A68" s="16" t="n">
        <v>67</v>
      </c>
      <c r="B68" s="16" t="inlineStr">
        <is>
          <t>D58</t>
        </is>
      </c>
      <c r="C68" s="16" t="inlineStr">
        <is>
          <t>A. Corso, R. J. Moss, M. Koren, R. Lee, and M. J. Kochenderfer, "A survey of algorithms for black-box safety validation of cyber-physical systems," J. Artif. Intell. Res., vol. 72, 2021, doi: 10.1613/jair.1.12716.</t>
        </is>
      </c>
      <c r="D68" s="17" t="n"/>
      <c r="E68" s="17" t="n"/>
      <c r="F68" s="17" t="n"/>
      <c r="G68" s="17" t="n"/>
      <c r="H68" s="17" t="n"/>
      <c r="I68" s="17" t="n"/>
      <c r="J68" s="17" t="n"/>
      <c r="K68" s="17" t="n"/>
      <c r="L68" s="17" t="n"/>
      <c r="M68" s="17" t="n"/>
    </row>
    <row r="69" ht="23.85" customHeight="1" s="12">
      <c r="A69" s="16" t="n">
        <v>68</v>
      </c>
      <c r="B69" s="16" t="inlineStr">
        <is>
          <t>D34</t>
        </is>
      </c>
      <c r="C69" s="16" t="inlineStr">
        <is>
          <t>D. R. Kuhn, R. Bryce, F. Duan, L. Ghandehari, Y. Lei, and R. N. Kacker, "Combinatorial testing: Theory and practice," Adv. Comput., vol. 99, pp. 1-66, 2015, doi: 10.1016/bs.adcom.2015.05.003.</t>
        </is>
      </c>
      <c r="D69" s="17" t="n"/>
      <c r="E69" s="17" t="n"/>
      <c r="F69" s="17" t="n"/>
      <c r="G69" s="17" t="n"/>
      <c r="H69" s="17" t="n"/>
      <c r="I69" s="17" t="n"/>
      <c r="J69" s="17" t="n"/>
      <c r="K69" s="17" t="n"/>
      <c r="L69" s="17" t="n"/>
      <c r="M69" s="17" t="n"/>
    </row>
    <row r="70" ht="23.85" customHeight="1" s="12">
      <c r="A70" s="16" t="n">
        <v>69</v>
      </c>
      <c r="B70" s="16" t="inlineStr">
        <is>
          <t>KUHN13</t>
        </is>
      </c>
      <c r="C70" s="16" t="inlineStr">
        <is>
          <t>D. R. Kuhn, I. Dominguez Mendoza, R. N. Kacker, and Y. Lei, "Combinatorial coverage measurement concepts and applications," in Proc. IEEE 6th Int. Conf. Software Testing, Verification and Validation Workshops (ICSTW), Luxembourg, 2013, pp. 352-361, doi: 10.1109/ICSTW.2013.77.</t>
        </is>
      </c>
      <c r="D70" s="17" t="n"/>
      <c r="E70" s="17" t="n"/>
      <c r="F70" s="17" t="n"/>
      <c r="G70" s="17" t="n"/>
      <c r="H70" s="17" t="n"/>
      <c r="I70" s="17" t="n"/>
      <c r="J70" s="17" t="n"/>
      <c r="K70" s="17" t="n"/>
      <c r="L70" s="17" t="n"/>
      <c r="M70" s="17" t="n"/>
    </row>
    <row r="71" ht="35.05" customHeight="1" s="12">
      <c r="A71" s="16" t="n">
        <v>70</v>
      </c>
      <c r="B71" s="16" t="inlineStr">
        <is>
          <t>C32</t>
        </is>
      </c>
      <c r="C71" s="16" t="inlineStr">
        <is>
          <t>Y. Li, J. Tao, and F. Wotawa, "Ontology-based test generation for automated and autonomous driving functions," Inf. Softw. Technol., vol. 117, Art. no. 106200, 2020, doi: 10.1016/j.infsof.2019.106200.</t>
        </is>
      </c>
      <c r="D71" s="17" t="inlineStr">
        <is>
          <t>MQ3</t>
        </is>
      </c>
      <c r="E71" s="17" t="n"/>
      <c r="F71" s="17" t="n"/>
      <c r="G71" s="17" t="n"/>
      <c r="H71" s="17" t="n"/>
      <c r="I71" s="17" t="n"/>
      <c r="J71" s="17" t="n"/>
      <c r="K71" s="17" t="n"/>
      <c r="L71" s="17" t="n"/>
      <c r="M71" s="17" t="n"/>
    </row>
    <row r="72" ht="35.05" customHeight="1" s="12">
      <c r="A72" s="16" t="n">
        <v>71</v>
      </c>
      <c r="B72" s="16" t="inlineStr">
        <is>
          <t>C9</t>
        </is>
      </c>
      <c r="C72" s="16" t="inlineStr">
        <is>
          <t>M. Skoglund, F. Warg, A. Thorsén, S. Punnekkat, and H. Hansson, "Methodology for test case allocation based on a formalized ODD," arXiv:2509.02311, 2025.</t>
        </is>
      </c>
      <c r="D72" s="17" t="inlineStr">
        <is>
          <t>MQ1, MQ3</t>
        </is>
      </c>
      <c r="E72" s="17" t="n"/>
      <c r="F72" s="17" t="n"/>
      <c r="G72" s="17" t="n"/>
      <c r="H72" s="17" t="n"/>
      <c r="I72" s="17" t="n"/>
      <c r="J72" s="17" t="n"/>
      <c r="K72" s="17" t="n"/>
      <c r="L72" s="17" t="n"/>
      <c r="M72" s="17" t="n"/>
    </row>
    <row r="73" ht="46.25" customHeight="1" s="12">
      <c r="A73" s="16" t="n">
        <v>72</v>
      </c>
      <c r="B73" s="16" t="inlineStr">
        <is>
          <t>D22</t>
        </is>
      </c>
      <c r="C73" s="16" t="inlineStr">
        <is>
          <t>U. S. Shah and D. C. Jinwala, "Resolving ambiguities in natural language software requirements: A comprehensive survey," ACM SIGSOFT Softw. Eng. Notes, vol. 40, no. 5, pp. 1-7, 2015, doi: 10.1145/2815021.2815032.</t>
        </is>
      </c>
      <c r="D73" s="17" t="n"/>
      <c r="E73" s="17" t="n"/>
      <c r="F73" s="17" t="n"/>
      <c r="G73" s="17" t="n"/>
      <c r="H73" s="17" t="n"/>
      <c r="I73" s="17" t="n"/>
      <c r="J73" s="17" t="n"/>
      <c r="K73" s="17" t="n"/>
      <c r="L73" s="17" t="n"/>
      <c r="M73" s="17" t="n"/>
    </row>
    <row r="74" ht="57.45" customHeight="1" s="12">
      <c r="A74" s="16" t="n">
        <v>73</v>
      </c>
      <c r="B74" s="16" t="inlineStr">
        <is>
          <t>D23</t>
        </is>
      </c>
      <c r="C74" s="16" t="inlineStr">
        <is>
          <t>F. de Bruijn and H. L. Dekkers, "Ambiguity in natural language software requirements: A case study," in Requirements Engineering: Foundation for Software Quality (REFSQ 2010), Lecture Notes in Computer Science. Berlin, Germany: Springer, 2010, pp. 233-247, doi: 10.1007/978-3-642-14192-8_21.</t>
        </is>
      </c>
      <c r="D74" s="17" t="n"/>
      <c r="E74" s="17" t="n"/>
      <c r="F74" s="17" t="n"/>
      <c r="G74" s="17" t="n"/>
      <c r="H74" s="17" t="n"/>
      <c r="I74" s="17" t="n"/>
      <c r="J74" s="17" t="n"/>
      <c r="K74" s="17" t="n"/>
      <c r="L74" s="17" t="n"/>
      <c r="M74" s="17" t="n"/>
    </row>
    <row r="75" ht="35.05" customHeight="1" s="12">
      <c r="A75" s="16" t="n">
        <v>74</v>
      </c>
      <c r="B75" s="16" t="inlineStr">
        <is>
          <t>D24</t>
        </is>
      </c>
      <c r="C75" s="16" t="inlineStr">
        <is>
          <t>F. Talha, T. Tahir, and T. Nadeem, "A semiautomated approach for detecting ambiguities in software requirements using SpanBERT and named entity recognition," J. Softw. Evol. Process, vol. 37, no. 8, 2025, doi: 10.1002/smr.70041.</t>
        </is>
      </c>
      <c r="D75" s="17" t="n"/>
      <c r="E75" s="17" t="n"/>
      <c r="F75" s="17" t="n"/>
      <c r="G75" s="17" t="n"/>
      <c r="H75" s="17" t="n"/>
      <c r="I75" s="17" t="n"/>
      <c r="J75" s="17" t="n"/>
      <c r="K75" s="17" t="n"/>
      <c r="L75" s="17" t="n"/>
      <c r="M75" s="17" t="n"/>
    </row>
    <row r="76" ht="35.05" customHeight="1" s="12">
      <c r="A76" s="16" t="n">
        <v>75</v>
      </c>
      <c r="B76" s="16" t="inlineStr">
        <is>
          <t>D25</t>
        </is>
      </c>
      <c r="C76" s="16" t="inlineStr">
        <is>
          <t>S. Bashir, A. Ferrari, A. Khan, P. E. Strandberg, Z. Haider, M. Saadatmand, and M. Bohlin, "Requirements ambiguity detection and explanation with LLMs: An industrial study," in Proc. IEEE Int. Conf. Software Maintenance and Evolution (ICSME), Industry Track, 2025 (IEEE Xplore document 11185947).</t>
        </is>
      </c>
      <c r="D76" s="17" t="n"/>
      <c r="E76" s="17" t="n"/>
      <c r="F76" s="17" t="n"/>
      <c r="G76" s="17" t="n"/>
      <c r="H76" s="17" t="n"/>
      <c r="I76" s="17" t="n"/>
      <c r="J76" s="17" t="n"/>
      <c r="K76" s="17" t="n"/>
      <c r="L76" s="17" t="n"/>
      <c r="M76" s="17" t="n"/>
    </row>
    <row r="77" ht="23.85" customHeight="1" s="12">
      <c r="A77" s="16" t="n">
        <v>76</v>
      </c>
      <c r="B77" s="16" t="inlineStr">
        <is>
          <t>D54</t>
        </is>
      </c>
      <c r="C77" s="16" t="inlineStr">
        <is>
          <t>Systems and Software Engineering - Life Cycle Processes - Requirements Engineering, ISO/IEC/IEEE 29148:2018, 2018.</t>
        </is>
      </c>
      <c r="D77" s="17" t="n"/>
      <c r="E77" s="17" t="n"/>
      <c r="F77" s="17" t="n"/>
      <c r="G77" s="17" t="n"/>
      <c r="H77" s="17" t="n"/>
      <c r="I77" s="17" t="n"/>
      <c r="J77" s="17" t="n"/>
      <c r="K77" s="17" t="n"/>
      <c r="L77" s="17" t="n"/>
      <c r="M77" s="17" t="n"/>
    </row>
    <row r="78" ht="46.25" customHeight="1" s="12">
      <c r="A78" s="16" t="n">
        <v>77</v>
      </c>
      <c r="B78" s="16" t="inlineStr">
        <is>
          <t>S19</t>
        </is>
      </c>
      <c r="C78" s="16" t="inlineStr">
        <is>
          <t>J.-M. Bruel, S. Ebersold, F. Galinier, M. Mazzara, A. Naumchev, and B. Meyer, "The role of formalism in system requirements," ACM Comput. Surv., vol. 54, no. 5, pp. 1-36, 2021, doi: 10.1145/3448975.</t>
        </is>
      </c>
      <c r="D78" s="17" t="n"/>
      <c r="E78" s="17" t="n"/>
      <c r="F78" s="17" t="n"/>
      <c r="G78" s="17" t="n"/>
      <c r="H78" s="17" t="n"/>
      <c r="I78" s="17" t="n"/>
      <c r="J78" s="17" t="n"/>
      <c r="K78" s="17" t="n"/>
      <c r="L78" s="17" t="n"/>
      <c r="M78" s="17" t="n"/>
    </row>
    <row r="79" ht="46.25" customHeight="1" s="12">
      <c r="A79" s="16" t="n">
        <v>78</v>
      </c>
      <c r="B79" s="16" t="inlineStr">
        <is>
          <t>S15</t>
        </is>
      </c>
      <c r="C79" s="16" t="inlineStr">
        <is>
          <t>H. Hu, L. Zhang, and C. Ye, "Semantic-based requirements analysis and verification," in Proc. Int. Conf. Electronics and Information Engineering (ICEIE), 2010, pp. V1-241-V1-246, doi: 10.1109/ICEIE.2010.5559882.</t>
        </is>
      </c>
      <c r="D79" s="17" t="n"/>
      <c r="E79" s="17" t="n"/>
      <c r="F79" s="17" t="n"/>
      <c r="G79" s="17" t="n"/>
      <c r="H79" s="17" t="n"/>
      <c r="I79" s="17" t="n"/>
      <c r="J79" s="17" t="n"/>
      <c r="K79" s="17" t="n"/>
      <c r="L79" s="17" t="n"/>
      <c r="M79" s="17" t="n"/>
    </row>
    <row r="80" ht="35.05" customHeight="1" s="12">
      <c r="A80" s="16" t="n">
        <v>79</v>
      </c>
      <c r="B80" s="16" t="inlineStr">
        <is>
          <t>S17</t>
        </is>
      </c>
      <c r="C80" s="16" t="inlineStr">
        <is>
          <t>K. Mokos, T. Nestoridis, P. Katsaros, and N. Bassiliades, "Semantic modeling and analysis of natural language system requirements," IEEE Access, vol. 10, pp. 84094-84119, 2022 (IEEE Xplore document 9852230).</t>
        </is>
      </c>
      <c r="D80" s="17" t="n"/>
      <c r="E80" s="17" t="n"/>
      <c r="F80" s="17" t="n"/>
      <c r="G80" s="17" t="n"/>
      <c r="H80" s="17" t="n"/>
      <c r="I80" s="17" t="n"/>
      <c r="J80" s="17" t="n"/>
      <c r="K80" s="17" t="n"/>
      <c r="L80" s="17" t="n"/>
      <c r="M80" s="17" t="n"/>
    </row>
    <row r="81" ht="46.25" customHeight="1" s="12">
      <c r="A81" s="16" t="n">
        <v>80</v>
      </c>
      <c r="B81" s="16" t="inlineStr">
        <is>
          <t>S16</t>
        </is>
      </c>
      <c r="C81" s="16" t="inlineStr">
        <is>
          <t>S. Lim, A. Henriksson, and J. Zdravkovic, "Data-driven requirements elicitation: A systematic literature review," SN Comput. Sci., vol. 2, no. 1, Art. no. 16, 2021, doi: 10.1007/s42979-020-00416-4.</t>
        </is>
      </c>
      <c r="D81" s="17" t="n"/>
      <c r="E81" s="17" t="n"/>
      <c r="F81" s="17" t="n"/>
      <c r="G81" s="17" t="n"/>
      <c r="H81" s="17" t="n"/>
      <c r="I81" s="17" t="n"/>
      <c r="J81" s="17" t="n"/>
      <c r="K81" s="17" t="n"/>
      <c r="L81" s="17" t="n"/>
      <c r="M81" s="17" t="n"/>
    </row>
    <row r="82" ht="57.45" customHeight="1" s="12">
      <c r="A82" s="16" t="n">
        <v>81</v>
      </c>
      <c r="B82" s="16" t="inlineStr">
        <is>
          <t>C35</t>
        </is>
      </c>
      <c r="C82" s="16" t="inlineStr">
        <is>
          <t>D. Giannakopoulou, T. Pressburger, A. Mavridou, J. Rhein, J. Schumann, and N. Shi, "Formal requirements elicitation with FRET," in Joint Proc. REFSQ-2020 Workshops, Doctoral Symposium, Live Studies Track, and Poster Track, CEUR-WS vol. 2584, Pisa, Italy, 2020.</t>
        </is>
      </c>
      <c r="D82" s="17" t="inlineStr">
        <is>
          <t>MQ2</t>
        </is>
      </c>
      <c r="E82" s="17" t="n"/>
      <c r="F82" s="17" t="n"/>
      <c r="G82" s="17" t="n"/>
      <c r="H82" s="17" t="n"/>
      <c r="I82" s="17" t="n"/>
      <c r="J82" s="17" t="n"/>
      <c r="K82" s="17" t="n"/>
      <c r="L82" s="17" t="n"/>
      <c r="M82" s="17" t="n"/>
    </row>
    <row r="83" ht="46.25" customHeight="1" s="12">
      <c r="A83" s="16" t="n">
        <v>82</v>
      </c>
      <c r="B83" s="16" t="inlineStr">
        <is>
          <t>C18</t>
        </is>
      </c>
      <c r="C83" s="16" t="inlineStr">
        <is>
          <t>J. He, E. Bartocci, D. Ničković, H. Isakovic, and R. Grosu, "DeepSTL - From English requirements to signal temporal logic," in Proc. 44th Int. Conf. Software Engineering (ICSE), 2022, doi: 10.1145/3510003.3510171.</t>
        </is>
      </c>
      <c r="D83" s="17" t="inlineStr">
        <is>
          <t>MQ2</t>
        </is>
      </c>
      <c r="E83" s="17" t="n"/>
      <c r="F83" s="17" t="n"/>
      <c r="G83" s="17" t="n"/>
      <c r="H83" s="17" t="n"/>
      <c r="I83" s="17" t="n"/>
      <c r="J83" s="17" t="n"/>
      <c r="K83" s="17" t="n"/>
      <c r="L83" s="17" t="n"/>
      <c r="M83" s="17" t="n"/>
    </row>
    <row r="84" ht="35.05" customHeight="1" s="12">
      <c r="A84" s="16" t="n">
        <v>83</v>
      </c>
      <c r="B84" s="16" t="inlineStr">
        <is>
          <t>D14</t>
        </is>
      </c>
      <c r="C84" s="16" t="inlineStr">
        <is>
          <t>A. Beg, D. O'Donoghue, and R. Monahan, "A short survey on formalising software requirements using large language models," arXiv:2506.11874, 2025.</t>
        </is>
      </c>
      <c r="D84" s="17" t="n"/>
      <c r="E84" s="17" t="n"/>
      <c r="F84" s="17" t="n"/>
      <c r="G84" s="17" t="n"/>
      <c r="H84" s="17" t="n"/>
      <c r="I84" s="17" t="n"/>
      <c r="J84" s="17" t="n"/>
      <c r="K84" s="17" t="n"/>
      <c r="L84" s="17" t="n"/>
      <c r="M84" s="17" t="n"/>
    </row>
    <row r="85" ht="35.05" customHeight="1" s="12">
      <c r="A85" s="16" t="n">
        <v>84</v>
      </c>
      <c r="B85" s="16" t="inlineStr">
        <is>
          <t>S20</t>
        </is>
      </c>
      <c r="C85" s="16" t="inlineStr">
        <is>
          <t>A. Tagliaferro, B. Guindani, L. Lestingi, and M. Rossi, "Towards an agentic LLM-based approach to requirement formalization from unstructured specifications," arXiv:2604.18228, 2026.</t>
        </is>
      </c>
      <c r="D85" s="17" t="n"/>
      <c r="E85" s="17" t="n"/>
      <c r="F85" s="17" t="n"/>
      <c r="G85" s="17" t="n"/>
      <c r="H85" s="17" t="n"/>
      <c r="I85" s="17" t="n"/>
      <c r="J85" s="17" t="n"/>
      <c r="K85" s="17" t="n"/>
      <c r="L85" s="17" t="n"/>
      <c r="M85" s="17" t="n"/>
    </row>
    <row r="86" ht="46.25" customHeight="1" s="12">
      <c r="A86" s="16" t="n">
        <v>85</v>
      </c>
      <c r="B86" s="16" t="inlineStr">
        <is>
          <t>D13</t>
        </is>
      </c>
      <c r="C86" s="16" t="inlineStr">
        <is>
          <t>A. Nouri, B. Cabrero-Daniel, F. Törner, H. Sivencrona, and C. Berger, "Engineering safety requirements for autonomous driving with large language models," in Proc. IEEE 32nd Int. Requirements Eng. Conf. (RE), 2024. arXiv:2403.16289.</t>
        </is>
      </c>
      <c r="D86" s="17" t="n"/>
      <c r="E86" s="17" t="n"/>
      <c r="F86" s="17" t="n"/>
      <c r="G86" s="17" t="n"/>
      <c r="H86" s="17" t="n"/>
      <c r="I86" s="17" t="n"/>
      <c r="J86" s="17" t="n"/>
      <c r="K86" s="17" t="n"/>
      <c r="L86" s="17" t="n"/>
      <c r="M86" s="17" t="n"/>
    </row>
    <row r="87" ht="35.05" customHeight="1" s="12">
      <c r="A87" s="16" t="n">
        <v>86</v>
      </c>
      <c r="B87" s="16" t="inlineStr">
        <is>
          <t>C10</t>
        </is>
      </c>
      <c r="C87" s="16" t="inlineStr">
        <is>
          <t>B. V. Balu, F. Geissler, F. Carella, J.-V. Zacchi, J. Jiru, N. Mata, and R. Stolle, "Towards automated safety requirements derivation using agent-based RAG," arXiv:2504.11243, 2025.</t>
        </is>
      </c>
      <c r="D87" s="17" t="inlineStr">
        <is>
          <t>MQ2</t>
        </is>
      </c>
      <c r="E87" s="17" t="n"/>
      <c r="F87" s="17" t="n"/>
      <c r="G87" s="17" t="n"/>
      <c r="H87" s="17" t="n"/>
      <c r="I87" s="17" t="n"/>
      <c r="J87" s="17" t="n"/>
      <c r="K87" s="17" t="n"/>
      <c r="L87" s="17" t="n"/>
      <c r="M87" s="17" t="n"/>
    </row>
    <row r="88" ht="35.05" customHeight="1" s="12">
      <c r="A88" s="16" t="n">
        <v>87</v>
      </c>
      <c r="B88" s="16" t="inlineStr">
        <is>
          <t>D60</t>
        </is>
      </c>
      <c r="C88" s="16" t="inlineStr">
        <is>
          <t>L. Del Corro and R. Gemulla, "ClausIE: Clause-based open information extraction," in Proc. 22nd Int. Conf. World Wide Web (WWW), 2013, pp. 355-366, doi: 10.1145/2488388.2488420.</t>
        </is>
      </c>
      <c r="D88" s="17" t="n"/>
      <c r="E88" s="17" t="n"/>
      <c r="F88" s="17" t="n"/>
      <c r="G88" s="17" t="n"/>
      <c r="H88" s="17" t="n"/>
      <c r="I88" s="17" t="n"/>
      <c r="J88" s="17" t="n"/>
      <c r="K88" s="17" t="n"/>
      <c r="L88" s="17" t="n"/>
      <c r="M88" s="17" t="n"/>
    </row>
    <row r="89" ht="35.05" customHeight="1" s="12">
      <c r="A89" s="16" t="n">
        <v>88</v>
      </c>
      <c r="B89" s="16" t="inlineStr">
        <is>
          <t>D61</t>
        </is>
      </c>
      <c r="C89" s="16" t="inlineStr">
        <is>
          <t>I. Beltagy, K. Lo, and A. Cohan, "SciBERT: A pretrained language model for scientific text," in Proc. Conf. Empirical Methods Natural Lang. Process. and 9th Int. Joint Conf. Natural Lang. Process. (EMNLP-IJCNLP), Hong Kong, China, 2019, pp. 3615-3620, doi: 10.18653/v1/D19-1371.</t>
        </is>
      </c>
      <c r="D89" s="17" t="n"/>
      <c r="E89" s="17" t="n"/>
      <c r="F89" s="17" t="n"/>
      <c r="G89" s="17" t="n"/>
      <c r="H89" s="17" t="n"/>
      <c r="I89" s="17" t="n"/>
      <c r="J89" s="17" t="n"/>
      <c r="K89" s="17" t="n"/>
      <c r="L89" s="17" t="n"/>
      <c r="M89" s="17" t="n"/>
    </row>
    <row r="90" ht="57.45" customHeight="1" s="12">
      <c r="A90" s="16" t="n">
        <v>89</v>
      </c>
      <c r="B90" s="16" t="inlineStr">
        <is>
          <t>D62</t>
        </is>
      </c>
      <c r="C90" s="16" t="inlineStr">
        <is>
          <t>N. Reimers and I. Gurevych, "Sentence-BERT: Sentence embeddings using Siamese BERT-networks," in Proc. Conf. Empirical Methods Natural Lang. Process. and 9th Int. Joint Conf. Natural Lang. Process. (EMNLP-IJCNLP), Hong Kong, China, 2019, pp. 3982-3992, doi: 10.18653/v1/D19-1410.</t>
        </is>
      </c>
      <c r="D90" s="17" t="n"/>
      <c r="E90" s="17" t="n"/>
      <c r="F90" s="17" t="n"/>
      <c r="G90" s="17" t="n"/>
      <c r="H90" s="17" t="n"/>
      <c r="I90" s="17" t="n"/>
      <c r="J90" s="17" t="n"/>
      <c r="K90" s="17" t="n"/>
      <c r="L90" s="17" t="n"/>
      <c r="M90" s="17" t="n"/>
    </row>
    <row r="91" ht="35.05" customHeight="1" s="12">
      <c r="A91" s="16" t="n">
        <v>90</v>
      </c>
      <c r="B91" s="16" t="inlineStr">
        <is>
          <t>D52</t>
        </is>
      </c>
      <c r="C91" s="16" t="inlineStr">
        <is>
          <t>L. Huang, W. Yu, W. Ma, W. Zhong, Z. Feng, H. Wang, Q. Chen, W. Peng, X. Feng, B. Qin, and T. Liu, "A survey on hallucination in large language models: Principles, taxonomy, challenges, and open questions," ACM Trans. Inf. Syst., vol. 43, no. 2, pp. 1-55, 2024, doi: 10.1145/3703155.</t>
        </is>
      </c>
      <c r="D91" s="17" t="n"/>
      <c r="E91" s="17" t="n"/>
      <c r="F91" s="17" t="n"/>
      <c r="G91" s="17" t="n"/>
      <c r="H91" s="17" t="n"/>
      <c r="I91" s="17" t="n"/>
      <c r="J91" s="17" t="n"/>
      <c r="K91" s="17" t="n"/>
      <c r="L91" s="17" t="n"/>
      <c r="M91" s="17" t="n"/>
    </row>
    <row r="92" ht="35.05" customHeight="1" s="12">
      <c r="A92" s="16" t="n">
        <v>91</v>
      </c>
      <c r="B92" s="16" t="inlineStr">
        <is>
          <t>D45</t>
        </is>
      </c>
      <c r="C92" s="16" t="inlineStr">
        <is>
          <t>J. M. Zhang, M. Harman, L. Ma, and Y. Liu, "Machine learning testing: Survey, landscapes and horizons," IEEE Trans. Softw. Eng., vol. 48, no. 1, pp. 1-36, 2022, doi: 10.1109/TSE.2019.2962027.</t>
        </is>
      </c>
      <c r="D92" s="17" t="n"/>
      <c r="E92" s="17" t="n"/>
      <c r="F92" s="17" t="n"/>
      <c r="G92" s="17" t="n"/>
      <c r="H92" s="17" t="n"/>
      <c r="I92" s="17" t="n"/>
      <c r="J92" s="17" t="n"/>
      <c r="K92" s="17" t="n"/>
      <c r="L92" s="17" t="n"/>
      <c r="M92" s="17" t="n"/>
    </row>
    <row r="93" ht="35.05" customHeight="1" s="12">
      <c r="A93" s="16" t="n">
        <v>92</v>
      </c>
      <c r="B93" s="16" t="inlineStr">
        <is>
          <t>D59</t>
        </is>
      </c>
      <c r="C93" s="16" t="inlineStr">
        <is>
          <t>T. Y. Chen, F.-C. Kuo, H. Liu, P.-L. Poon, D. Towey, T. H. Tse, and Z. Q. Zhou, "Metamorphic testing: A review of challenges and opportunities," ACM Comput. Surv., vol. 51, no. 1, pp. 1-27, 2018, doi: 10.1145/3143561.</t>
        </is>
      </c>
      <c r="D93" s="17" t="n"/>
      <c r="E93" s="17" t="n"/>
      <c r="F93" s="17" t="n"/>
      <c r="G93" s="17" t="n"/>
      <c r="H93" s="17" t="n"/>
      <c r="I93" s="17" t="n"/>
      <c r="J93" s="17" t="n"/>
      <c r="K93" s="17" t="n"/>
      <c r="L93" s="17" t="n"/>
      <c r="M93" s="17" t="n"/>
    </row>
    <row r="94" ht="46.25" customHeight="1" s="12">
      <c r="A94" s="16" t="n">
        <v>93</v>
      </c>
      <c r="B94" s="16" t="inlineStr">
        <is>
          <t>D64</t>
        </is>
      </c>
      <c r="C94" s="16" t="inlineStr">
        <is>
          <t>A. Sinha, S. Chand, V. Vu, H. Chen, and V. V. Dixit, "Crash and disengagement data of autonomous vehicles on public roads in California," Sci. Data, vol. 8, no. 1, Art. no. 298, 2021, doi: 10.1038/s41597-021-01083-7.</t>
        </is>
      </c>
      <c r="D94" s="17" t="n"/>
      <c r="E94" s="17" t="n"/>
      <c r="F94" s="17" t="n"/>
      <c r="G94" s="17" t="n"/>
      <c r="H94" s="17" t="n"/>
      <c r="I94" s="17" t="n"/>
      <c r="J94" s="17" t="n"/>
      <c r="K94" s="17" t="n"/>
      <c r="L94" s="17" t="n"/>
      <c r="M94" s="17" t="n"/>
    </row>
    <row r="95" ht="35.05" customHeight="1" s="12">
      <c r="A95" s="16" t="n">
        <v>94</v>
      </c>
      <c r="B95" s="16" t="inlineStr">
        <is>
          <t>C25</t>
        </is>
      </c>
      <c r="C95" s="16" t="inlineStr">
        <is>
          <t>B. Jian, R. Yu, H. Wang, L. Wang, and Z. Zou, "Towards lawful autonomous driving: Deriving scenario-aware driving requirements from traffic laws and regulations," arXiv:2604.24562, 2026.</t>
        </is>
      </c>
      <c r="D95" s="17" t="inlineStr">
        <is>
          <t>MQ2, MQ3</t>
        </is>
      </c>
      <c r="E95" s="17" t="n"/>
      <c r="F95" s="17" t="n"/>
      <c r="G95" s="17" t="n"/>
      <c r="H95" s="17" t="n"/>
      <c r="I95" s="17" t="n"/>
      <c r="J95" s="17" t="n"/>
      <c r="K95" s="17" t="n"/>
      <c r="L95" s="17" t="n"/>
      <c r="M95" s="17" t="n"/>
    </row>
    <row r="96" ht="57.45" customHeight="1" s="12">
      <c r="A96" s="16" t="n">
        <v>95</v>
      </c>
      <c r="B96" s="16" t="inlineStr">
        <is>
          <t>C26</t>
        </is>
      </c>
      <c r="C96" s="16" t="inlineStr">
        <is>
          <t>Y. Zhao, J. Zhou, D. Bi, T. Mihalj, J. Hu, and A. Eichberger, "A survey on the application of large language models in scenario-based testing of automated driving systems," IEEE Trans. Intell. Transp. Syst., vol. 27, no. 5, pp. 5001-5023, 2026, doi: 10.1109/TITS.2026.3651004.</t>
        </is>
      </c>
      <c r="D96" s="17" t="inlineStr">
        <is>
          <t>MQ3</t>
        </is>
      </c>
      <c r="E96" s="17" t="n"/>
      <c r="F96" s="17" t="n"/>
      <c r="G96" s="17" t="n"/>
      <c r="H96" s="17" t="n"/>
      <c r="I96" s="17" t="n"/>
      <c r="J96" s="17" t="n"/>
      <c r="K96" s="17" t="n"/>
      <c r="L96" s="17" t="n"/>
      <c r="M96" s="17" t="n"/>
    </row>
    <row r="97" ht="35.05" customHeight="1" s="12">
      <c r="A97" s="16" t="n">
        <v>96</v>
      </c>
      <c r="B97" s="16" t="inlineStr">
        <is>
          <t>D46</t>
        </is>
      </c>
      <c r="C97" s="16" t="inlineStr">
        <is>
          <t>O. C. Z. Gotel and A. Finkelstein, "An analysis of the requirements traceability problem," in Proc. IEEE Int. Conf. Requirements Eng. (ICRE), Colorado Springs, CO, USA, 1994, pp. 94-101, doi: 10.1109/ICRE.1994.292398.</t>
        </is>
      </c>
      <c r="D97" s="17" t="n"/>
      <c r="E97" s="17" t="n"/>
      <c r="F97" s="17" t="n"/>
      <c r="G97" s="17" t="n"/>
      <c r="H97" s="17" t="n"/>
      <c r="I97" s="17" t="n"/>
      <c r="J97" s="17" t="n"/>
      <c r="K97" s="17" t="n"/>
      <c r="L97" s="17" t="n"/>
      <c r="M97" s="17" t="n"/>
    </row>
    <row r="98" ht="46.25" customHeight="1" s="12">
      <c r="A98" s="16" t="n">
        <v>97</v>
      </c>
      <c r="B98" s="16" t="inlineStr">
        <is>
          <t>D47</t>
        </is>
      </c>
      <c r="C98" s="16" t="inlineStr">
        <is>
          <t>J. Cleland-Huang, O. C. Z. Gotel, J. Huffman Hayes, P. Mäder, and A. Zisman, "Software traceability: Trends and future directions," in Proc. Future of Software Engineering (FOSE), 2014, pp. 55-69, doi: 10.1145/2593882.2593891.</t>
        </is>
      </c>
      <c r="D98" s="17" t="n"/>
      <c r="E98" s="17" t="n"/>
      <c r="F98" s="17" t="n"/>
      <c r="G98" s="17" t="n"/>
      <c r="H98" s="17" t="n"/>
      <c r="I98" s="17" t="n"/>
      <c r="J98" s="17" t="n"/>
      <c r="K98" s="17" t="n"/>
      <c r="L98" s="17" t="n"/>
      <c r="M98" s="17" t="n"/>
    </row>
    <row r="99" ht="35.05" customHeight="1" s="12">
      <c r="A99" s="16" t="n">
        <v>98</v>
      </c>
      <c r="B99" s="16" t="inlineStr">
        <is>
          <t>S41</t>
        </is>
      </c>
      <c r="C99" s="16" t="inlineStr">
        <is>
          <t>S. Maro, J.-P. Steghöfer, and M. Staron, "Software traceability in the automotive domain: Challenges and solutions," J. Syst. Softw., vol. 141, pp. 85-110, 2018, doi: 10.1016/j.jss.2018.03.060.</t>
        </is>
      </c>
      <c r="D99" s="17" t="n"/>
      <c r="E99" s="17" t="n"/>
      <c r="F99" s="17" t="n"/>
      <c r="G99" s="17" t="n"/>
      <c r="H99" s="17" t="n"/>
      <c r="I99" s="17" t="n"/>
      <c r="J99" s="17" t="n"/>
      <c r="K99" s="17" t="n"/>
      <c r="L99" s="17" t="n"/>
      <c r="M99" s="17" t="n"/>
    </row>
    <row r="100" ht="35.05" customHeight="1" s="12">
      <c r="A100" s="16" t="n">
        <v>99</v>
      </c>
      <c r="B100" s="16" t="inlineStr">
        <is>
          <t>S40</t>
        </is>
      </c>
      <c r="C100" s="16" t="inlineStr">
        <is>
          <t>D. Fucci, E. Alégroth, and T. Axelsson, "When traceability goes awry: An industrial experience report," J. Syst. Softw., vol. 192, Art. no. 111389, 2022, doi: 10.1016/j.jss.2022.111389.</t>
        </is>
      </c>
      <c r="D100" s="17" t="n"/>
      <c r="E100" s="17" t="n"/>
      <c r="F100" s="17" t="n"/>
      <c r="G100" s="17" t="n"/>
      <c r="H100" s="17" t="n"/>
      <c r="I100" s="17" t="n"/>
      <c r="J100" s="17" t="n"/>
      <c r="K100" s="17" t="n"/>
      <c r="L100" s="17" t="n"/>
      <c r="M100" s="17" t="n"/>
    </row>
    <row r="101" ht="35.05" customHeight="1" s="12">
      <c r="A101" s="16" t="n">
        <v>100</v>
      </c>
      <c r="B101" s="16" t="inlineStr">
        <is>
          <t>S42</t>
        </is>
      </c>
      <c r="C101" s="16" t="inlineStr">
        <is>
          <t>M. Ruiz, J. Y. Hu, and F. Dalpiaz, "Why don't we trace? A study on the barriers to software traceability in practice," Requir. Eng., vol. 28, no. 4, pp. 619-637, 2023, doi: 10.1007/s00766-023-00408-9.</t>
        </is>
      </c>
      <c r="D101" s="17" t="n"/>
      <c r="E101" s="17" t="n"/>
      <c r="F101" s="17" t="n"/>
      <c r="G101" s="17" t="n"/>
      <c r="H101" s="17" t="n"/>
      <c r="I101" s="17" t="n"/>
      <c r="J101" s="17" t="n"/>
      <c r="K101" s="17" t="n"/>
      <c r="L101" s="17" t="n"/>
      <c r="M101" s="17" t="n"/>
    </row>
    <row r="102" ht="46.25" customHeight="1" s="12">
      <c r="A102" s="16" t="n">
        <v>101</v>
      </c>
      <c r="B102" s="16" t="inlineStr">
        <is>
          <t>S67</t>
        </is>
      </c>
      <c r="C102" s="16" t="inlineStr">
        <is>
          <t>P. Rempel, P. Mäder, and T. Kuschke, "An empirical study on project-specific traceability strategies," in Proc. 21st IEEE Int. Requirements Eng. Conf. (RE), Rio de Janeiro, Brazil, 2013, pp. 195-204, doi: 10.1109/RE.2013.6636719.</t>
        </is>
      </c>
      <c r="D102" s="17" t="n"/>
      <c r="E102" s="17" t="n"/>
      <c r="F102" s="17" t="n"/>
      <c r="G102" s="17" t="n"/>
      <c r="H102" s="17" t="n"/>
      <c r="I102" s="17" t="n"/>
      <c r="J102" s="17" t="n"/>
      <c r="K102" s="17" t="n"/>
      <c r="L102" s="17" t="n"/>
      <c r="M102" s="17" t="n"/>
    </row>
    <row r="103" ht="46.25" customHeight="1" s="12">
      <c r="A103" s="16" t="n">
        <v>102</v>
      </c>
      <c r="B103" s="16" t="inlineStr">
        <is>
          <t>C28</t>
        </is>
      </c>
      <c r="C103" s="16" t="inlineStr">
        <is>
          <t>R. Wohlrab, P. Pelliccione, A. Shahrokni, and E. Knauss, "Why and how your traceability should evolve: Insights from an automotive supplier," IEEE Software, 2020 (IEEE Xplore document 9097278). arXiv:2005.09414.</t>
        </is>
      </c>
      <c r="D103" s="17" t="inlineStr">
        <is>
          <t>RQ4 (traceability under change)</t>
        </is>
      </c>
      <c r="E103" s="17" t="n"/>
      <c r="F103" s="17" t="n"/>
      <c r="G103" s="17" t="n"/>
      <c r="H103" s="17" t="n"/>
      <c r="I103" s="17" t="n"/>
      <c r="J103" s="17" t="n"/>
      <c r="K103" s="17" t="n"/>
      <c r="L103" s="17" t="n"/>
      <c r="M103" s="17" t="n"/>
    </row>
    <row r="104" ht="46.25" customHeight="1" s="12">
      <c r="A104" s="16" t="n">
        <v>103</v>
      </c>
      <c r="B104" s="16" t="inlineStr">
        <is>
          <t>S43</t>
        </is>
      </c>
      <c r="C104" s="16" t="inlineStr">
        <is>
          <t>W. Abdeen, M. Unterkalmsteiner, P. Löwenadler, P. Yousefi, and K. Wnuk, "Empirical evaluation of taxonomic trace links: A case study," Empir. Softw. Eng., vol. 31, no. 2, Art. no. 34, 2025, doi: 10.1007/s10664-025-10764-5.</t>
        </is>
      </c>
      <c r="D104" s="17" t="n"/>
      <c r="E104" s="17" t="n"/>
      <c r="F104" s="17" t="n"/>
      <c r="G104" s="17" t="n"/>
      <c r="H104" s="17" t="n"/>
      <c r="I104" s="17" t="n"/>
      <c r="J104" s="17" t="n"/>
      <c r="K104" s="17" t="n"/>
      <c r="L104" s="17" t="n"/>
      <c r="M104" s="17" t="n"/>
    </row>
    <row r="105" ht="35.05" customHeight="1" s="12">
      <c r="A105" s="16" t="n">
        <v>104</v>
      </c>
      <c r="B105" s="16" t="inlineStr">
        <is>
          <t>S44</t>
        </is>
      </c>
      <c r="C105" s="16" t="inlineStr">
        <is>
          <t>F. Niu, R. Pan, L. C. Briand, and H. Hu, "TVR: Automotive system requirement traceability validation and recovery through retrieval-augmented generation," arXiv:2504.15427, 2025.</t>
        </is>
      </c>
      <c r="D105" s="17" t="n"/>
      <c r="E105" s="17" t="n"/>
      <c r="F105" s="17" t="n"/>
      <c r="G105" s="17" t="n"/>
      <c r="H105" s="17" t="n"/>
      <c r="I105" s="17" t="n"/>
      <c r="J105" s="17" t="n"/>
      <c r="K105" s="17" t="n"/>
      <c r="L105" s="17" t="n"/>
      <c r="M105" s="17" t="n"/>
    </row>
    <row r="106" ht="46.25" customHeight="1" s="12">
      <c r="A106" s="16" t="n">
        <v>105</v>
      </c>
      <c r="B106" s="16" t="inlineStr">
        <is>
          <t>S39</t>
        </is>
      </c>
      <c r="C106" s="16" t="inlineStr">
        <is>
          <t>J. Mucha, A. Kaufmann, and D. Riehle, "A systematic literature review of pre-requirements specification traceability," Requir. Eng., vol. 29, no. 2, pp. 119-141, 2024, doi: 10.1007/s00766-023-00412-z.</t>
        </is>
      </c>
      <c r="D106" s="17" t="n"/>
      <c r="E106" s="17" t="n"/>
      <c r="F106" s="17" t="n"/>
      <c r="G106" s="17" t="n"/>
      <c r="H106" s="17" t="n"/>
      <c r="I106" s="17" t="n"/>
      <c r="J106" s="17" t="n"/>
      <c r="K106" s="17" t="n"/>
      <c r="L106" s="17" t="n"/>
      <c r="M106" s="17" t="n"/>
    </row>
    <row r="107" ht="46.25" customHeight="1" s="12">
      <c r="A107" s="16" t="n">
        <v>106</v>
      </c>
      <c r="B107" s="16" t="inlineStr">
        <is>
          <t>S45</t>
        </is>
      </c>
      <c r="C107" s="16" t="inlineStr">
        <is>
          <t>F. Tian, T. Wang, P. Liang, C. Wang, A. A. Khan, and M. A. Babar, "The impact of traceability on software maintenance and evolution: A mapping study," J. Softw. Evol. Process, vol. 33, no. 10, 2021, doi: 10.1002/smr.2374.</t>
        </is>
      </c>
      <c r="D107" s="17" t="n"/>
      <c r="E107" s="17" t="n"/>
      <c r="F107" s="17" t="n"/>
      <c r="G107" s="17" t="n"/>
      <c r="H107" s="17" t="n"/>
      <c r="I107" s="17" t="n"/>
      <c r="J107" s="17" t="n"/>
      <c r="K107" s="17" t="n"/>
      <c r="L107" s="17" t="n"/>
      <c r="M107" s="17" t="n"/>
    </row>
    <row r="108" ht="23.85" customHeight="1" s="12">
      <c r="A108" s="16" t="n">
        <v>107</v>
      </c>
      <c r="B108" s="16" t="inlineStr">
        <is>
          <t>D36</t>
        </is>
      </c>
      <c r="C108" s="16" t="inlineStr">
        <is>
          <t>E. Farhi, J. Goldstone, and S. Gutmann, "A quantum approximate optimization algorithm," arXiv:1411.4028, 2014.</t>
        </is>
      </c>
      <c r="D108" s="17" t="n"/>
      <c r="E108" s="17" t="n"/>
      <c r="F108" s="17" t="n"/>
      <c r="G108" s="17" t="n"/>
      <c r="H108" s="17" t="n"/>
      <c r="I108" s="17" t="n"/>
      <c r="J108" s="17" t="n"/>
      <c r="K108" s="17" t="n"/>
      <c r="L108" s="17" t="n"/>
      <c r="M108" s="17" t="n"/>
    </row>
    <row r="109" ht="23.85" customHeight="1" s="12">
      <c r="A109" s="16" t="n">
        <v>108</v>
      </c>
      <c r="B109" s="16" t="inlineStr">
        <is>
          <t>D42</t>
        </is>
      </c>
      <c r="C109" s="16" t="inlineStr">
        <is>
          <t>A. Lucas, "Ising formulations of many NP problems," Front. Phys., vol. 2, Art. no. 5, 2014, doi: 10.3389/fphy.2014.00005.</t>
        </is>
      </c>
      <c r="D109" s="17" t="n"/>
      <c r="E109" s="17" t="n"/>
      <c r="F109" s="17" t="n"/>
      <c r="G109" s="17" t="n"/>
      <c r="H109" s="17" t="n"/>
      <c r="I109" s="17" t="n"/>
      <c r="J109" s="17" t="n"/>
      <c r="K109" s="17" t="n"/>
      <c r="L109" s="17" t="n"/>
      <c r="M109" s="17" t="n"/>
    </row>
    <row r="110" ht="46.25" customHeight="1" s="12">
      <c r="A110" s="16" t="n">
        <v>109</v>
      </c>
      <c r="B110" s="16" t="inlineStr">
        <is>
          <t>S51</t>
        </is>
      </c>
      <c r="C110" s="16" t="inlineStr">
        <is>
          <t>M. Cerezo, A. Arrasmith, R. Babbush, S. C. Benjamin, S. Endo, K. Fujii, J. R. McClean, K. Mitarai, X. Yuan, L. Cincio, and P. J. Coles, "Variational quantum algorithms," Nat. Rev. Phys., vol. 3, no. 9, pp. 625-644, 2021, doi: 10.1038/s42254-021-00348-9.</t>
        </is>
      </c>
      <c r="D110" s="17" t="n"/>
      <c r="E110" s="17" t="n"/>
      <c r="F110" s="17" t="n"/>
      <c r="G110" s="17" t="n"/>
      <c r="H110" s="17" t="n"/>
      <c r="I110" s="17" t="n"/>
      <c r="J110" s="17" t="n"/>
      <c r="K110" s="17" t="n"/>
      <c r="L110" s="17" t="n"/>
      <c r="M110" s="17" t="n"/>
    </row>
    <row r="111" ht="46.25" customHeight="1" s="12">
      <c r="A111" s="16" t="n">
        <v>110</v>
      </c>
      <c r="B111" s="16" t="inlineStr">
        <is>
          <t>D37</t>
        </is>
      </c>
      <c r="C111" s="16" t="inlineStr">
        <is>
          <t>C. C. McGeoch, Adiabatic Quantum Computation and Quantum Annealing: Theory and Practice (Synthesis Lectures on Quantum Computing). Cham, Switzerland: Springer, 2022 (orig. publ. 2014), doi: 10.1007/978-3-031-02518-1.</t>
        </is>
      </c>
      <c r="D111" s="17" t="n"/>
      <c r="E111" s="17" t="n"/>
      <c r="F111" s="17" t="n"/>
      <c r="G111" s="17" t="n"/>
      <c r="H111" s="17" t="n"/>
      <c r="I111" s="17" t="n"/>
      <c r="J111" s="17" t="n"/>
      <c r="K111" s="17" t="n"/>
      <c r="L111" s="17" t="n"/>
      <c r="M111" s="17" t="n"/>
    </row>
    <row r="112" ht="46.25" customHeight="1" s="12">
      <c r="A112" s="16" t="n">
        <v>111</v>
      </c>
      <c r="B112" s="16" t="inlineStr">
        <is>
          <t>D38</t>
        </is>
      </c>
      <c r="C112" s="16" t="inlineStr">
        <is>
          <t>S. Yarkoni, E. Raponi, T. Bäck, and S. Schmitt, "Quantum annealing for industry applications: Introduction and review," Rep. Prog. Phys., vol. 85, no. 10, Art. no. 104001, 2022, doi: 10.1088/1361-6633/ac8c54.</t>
        </is>
      </c>
      <c r="D112" s="17" t="n"/>
      <c r="E112" s="17" t="n"/>
      <c r="F112" s="17" t="n"/>
      <c r="G112" s="17" t="n"/>
      <c r="H112" s="17" t="n"/>
      <c r="I112" s="17" t="n"/>
      <c r="J112" s="17" t="n"/>
      <c r="K112" s="17" t="n"/>
      <c r="L112" s="17" t="n"/>
      <c r="M112" s="17" t="n"/>
    </row>
    <row r="113" ht="23.85" customHeight="1" s="12">
      <c r="A113" s="16" t="n">
        <v>112</v>
      </c>
      <c r="B113" s="16" t="inlineStr">
        <is>
          <t>D63</t>
        </is>
      </c>
      <c r="C113" s="16" t="inlineStr">
        <is>
          <t>J. King, S. Yarkoni, M. M. Nevisi, J. P. Hilton, and C. C. McGeoch, "Benchmarking a quantum annealing processor with the time-to-target metric," arXiv:1508.05087, 2015.</t>
        </is>
      </c>
      <c r="D113" s="17" t="n"/>
      <c r="E113" s="17" t="n"/>
      <c r="F113" s="17" t="n"/>
      <c r="G113" s="17" t="n"/>
      <c r="H113" s="17" t="n"/>
      <c r="I113" s="17" t="n"/>
      <c r="J113" s="17" t="n"/>
      <c r="K113" s="17" t="n"/>
      <c r="L113" s="17" t="n"/>
      <c r="M113" s="17" t="n"/>
    </row>
    <row r="114" ht="23.85" customHeight="1" s="12">
      <c r="A114" s="16" t="n">
        <v>113</v>
      </c>
      <c r="B114" s="16" t="inlineStr">
        <is>
          <t>D43</t>
        </is>
      </c>
      <c r="C114" s="16" t="inlineStr">
        <is>
          <t>J. Preskill, "Quantum computing in the NISQ era and beyond," Quantum, vol. 2, Art. no. 79, 2018, doi: 10.22331/q-2018-08-06-79.</t>
        </is>
      </c>
      <c r="D114" s="17" t="n"/>
      <c r="E114" s="17" t="n"/>
      <c r="F114" s="17" t="n"/>
      <c r="G114" s="17" t="n"/>
      <c r="H114" s="17" t="n"/>
      <c r="I114" s="17" t="n"/>
      <c r="J114" s="17" t="n"/>
      <c r="K114" s="17" t="n"/>
      <c r="L114" s="17" t="n"/>
      <c r="M114" s="17" t="n"/>
    </row>
    <row r="115" ht="46.25" customHeight="1" s="12">
      <c r="A115" s="16" t="n">
        <v>114</v>
      </c>
      <c r="B115" s="16" t="inlineStr">
        <is>
          <t>D39</t>
        </is>
      </c>
      <c r="C115" s="16" t="inlineStr">
        <is>
          <t>F. A. Quinton, P. A. S. Myhr, M. Barani, P. Crespo del Granado, and H. Zhang, "Quantum annealing applications, challenges and limitations for optimisation problems compared to classical solvers," Sci. Rep., 2025, doi: 10.1038/s41598-025-96220-2.</t>
        </is>
      </c>
      <c r="D115" s="17" t="n"/>
      <c r="E115" s="17" t="n"/>
      <c r="F115" s="17" t="n"/>
      <c r="G115" s="17" t="n"/>
      <c r="H115" s="17" t="n"/>
      <c r="I115" s="17" t="n"/>
      <c r="J115" s="17" t="n"/>
      <c r="K115" s="17" t="n"/>
      <c r="L115" s="17" t="n"/>
      <c r="M115" s="17" t="n"/>
    </row>
    <row r="116" ht="46.25" customHeight="1" s="12">
      <c r="A116" s="16" t="n">
        <v>115</v>
      </c>
      <c r="B116" s="16" t="inlineStr">
        <is>
          <t>S65</t>
        </is>
      </c>
      <c r="C116" s="16" t="inlineStr">
        <is>
          <t>S. Feld, C. Roch, T. Gabor, C. Seidel, F. Neukart, I. Galter, W. Mauerer, and C. Linnhoff-Popien, "A hybrid solution method for the capacitated vehicle routing problem using a quantum annealer," Front. ICT, vol. 6, Art. no. 13, 2019, doi: 10.3389/fict.2019.00013.</t>
        </is>
      </c>
      <c r="D116" s="17" t="n"/>
      <c r="E116" s="17" t="n"/>
      <c r="F116" s="17" t="n"/>
      <c r="G116" s="17" t="n"/>
      <c r="H116" s="17" t="n"/>
      <c r="I116" s="17" t="n"/>
      <c r="J116" s="17" t="n"/>
      <c r="K116" s="17" t="n"/>
      <c r="L116" s="17" t="n"/>
      <c r="M116" s="17" t="n"/>
    </row>
    <row r="117" ht="46.25" customHeight="1" s="12">
      <c r="A117" s="16" t="n">
        <v>116</v>
      </c>
      <c r="B117" s="16" t="inlineStr">
        <is>
          <t>S66</t>
        </is>
      </c>
      <c r="C117" s="16" t="inlineStr">
        <is>
          <t>Ö. Salehi, A. Glos, and J. A. Miszczak, "Unconstrained binary models of the travelling salesman problem variants for quantum optimization," Quantum Inf. Process., vol. 21, no. 2, Art. no. 67, 2022, doi: 10.1007/s11128-021-03405-5.</t>
        </is>
      </c>
      <c r="D117" s="17" t="n"/>
      <c r="E117" s="17" t="n"/>
      <c r="F117" s="17" t="n"/>
      <c r="G117" s="17" t="n"/>
      <c r="H117" s="17" t="n"/>
      <c r="I117" s="17" t="n"/>
      <c r="J117" s="17" t="n"/>
      <c r="K117" s="17" t="n"/>
      <c r="L117" s="17" t="n"/>
      <c r="M117" s="17" t="n"/>
    </row>
    <row r="118" ht="46.25" customHeight="1" s="12">
      <c r="A118" s="16" t="n">
        <v>117</v>
      </c>
      <c r="B118" s="16" t="inlineStr">
        <is>
          <t>S54</t>
        </is>
      </c>
      <c r="C118" s="16" t="inlineStr">
        <is>
          <t>P. D. Nation, H. Kang, N. Sundaresan, and J. M. Gambetta, "Scalable mitigation of measurement errors on quantum computers," PRX Quantum, vol. 2, no. 4, Art. no. 040326, 2021, doi: 10.1103/PRXQuantum.2.040326.</t>
        </is>
      </c>
      <c r="D118" s="17" t="n"/>
      <c r="E118" s="17" t="n"/>
      <c r="F118" s="17" t="n"/>
      <c r="G118" s="17" t="n"/>
      <c r="H118" s="17" t="n"/>
      <c r="I118" s="17" t="n"/>
      <c r="J118" s="17" t="n"/>
      <c r="K118" s="17" t="n"/>
      <c r="L118" s="17" t="n"/>
      <c r="M118" s="17" t="n"/>
    </row>
    <row r="119" ht="35.05" customHeight="1" s="12">
      <c r="A119" s="16" t="n">
        <v>118</v>
      </c>
      <c r="B119" s="16" t="inlineStr">
        <is>
          <t>D15</t>
        </is>
      </c>
      <c r="C119" s="16" t="inlineStr">
        <is>
          <t>M. Zhang, Y. Li, T. Yue, and K.-Y. Cai, "Quantum optimization for software engineering: A survey," ACM Trans. Softw. Eng. Methodol., doi: 10.1145/3816147. arXiv:2506.16878.</t>
        </is>
      </c>
      <c r="D119" s="17" t="n"/>
      <c r="E119" s="17" t="n"/>
      <c r="F119" s="17" t="n"/>
      <c r="G119" s="17" t="n"/>
      <c r="H119" s="17" t="n"/>
      <c r="I119" s="17" t="n"/>
      <c r="J119" s="17" t="n"/>
      <c r="K119" s="17" t="n"/>
      <c r="L119" s="17" t="n"/>
      <c r="M119" s="17" t="n"/>
    </row>
    <row r="120" ht="35.05" customHeight="1" s="12">
      <c r="A120" s="16" t="n">
        <v>119</v>
      </c>
      <c r="B120" s="16" t="inlineStr">
        <is>
          <t>C15</t>
        </is>
      </c>
      <c r="C120" s="16" t="inlineStr">
        <is>
          <t>X. Wang, S. Ali, T. Yue, and P. Arcaini, "Quantum approximate optimization algorithm for test case optimization," arXiv:2312.15547, 2023.</t>
        </is>
      </c>
      <c r="D120" s="17" t="inlineStr">
        <is>
          <t>MQ4</t>
        </is>
      </c>
      <c r="E120" s="17" t="n"/>
      <c r="F120" s="17" t="n"/>
      <c r="G120" s="17" t="n"/>
      <c r="H120" s="17" t="n"/>
      <c r="I120" s="17" t="n"/>
      <c r="J120" s="17" t="n"/>
      <c r="K120" s="17" t="n"/>
      <c r="L120" s="17" t="n"/>
      <c r="M120" s="17" t="n"/>
    </row>
    <row r="121" ht="35.05" customHeight="1" s="12">
      <c r="A121" s="16" t="n">
        <v>120</v>
      </c>
      <c r="B121" s="16" t="inlineStr">
        <is>
          <t>D20</t>
        </is>
      </c>
      <c r="C121" s="16" t="inlineStr">
        <is>
          <t>N. Innan, B. K. Behera, S. Al-Kuwari, and A. Farouk, "QNN-VRCS: A quantum neural network for vehicle road cooperation systems," arXiv:2412.12705, 2024.</t>
        </is>
      </c>
      <c r="D121" s="17" t="n"/>
      <c r="E121" s="17" t="n"/>
      <c r="F121" s="17" t="n"/>
      <c r="G121" s="17" t="n"/>
      <c r="H121" s="17" t="n"/>
      <c r="I121" s="17" t="n"/>
      <c r="J121" s="17" t="n"/>
      <c r="K121" s="17" t="n"/>
      <c r="L121" s="17" t="n"/>
      <c r="M121" s="17" t="n"/>
    </row>
    <row r="122" ht="46.25" customHeight="1" s="12">
      <c r="A122" s="16" t="n">
        <v>121</v>
      </c>
      <c r="B122" s="16" t="inlineStr">
        <is>
          <t>S59</t>
        </is>
      </c>
      <c r="C122" s="16" t="inlineStr">
        <is>
          <t>B. Weder, J. Barzen, F. Leymann, and D. Vietz, "Quantum software development lifecycle," in Quantum Software Engineering, M. A. Serrano, R. Pérez-Castillo, and M. Piattini, Eds. Cham, Switzerland: Springer, 2022, pp. 61-83, doi: 10.1007/978-3-031-05324-5_4.</t>
        </is>
      </c>
      <c r="D122" s="17" t="n"/>
      <c r="E122" s="17" t="n"/>
      <c r="F122" s="17" t="n"/>
      <c r="G122" s="17" t="n"/>
      <c r="H122" s="17" t="n"/>
      <c r="I122" s="17" t="n"/>
      <c r="J122" s="17" t="n"/>
      <c r="K122" s="17" t="n"/>
      <c r="L122" s="17" t="n"/>
      <c r="M122" s="17" t="n"/>
    </row>
    <row r="123" ht="46.25" customHeight="1" s="12">
      <c r="A123" s="16" t="n">
        <v>122</v>
      </c>
      <c r="B123" s="16" t="inlineStr">
        <is>
          <t>S57</t>
        </is>
      </c>
      <c r="C123" s="16" t="inlineStr">
        <is>
          <t>M. A. Serrano, J. A. Cruz-Lemus, R. Pérez-Castillo, and M. Piattini, "Quantum software components and platforms: Overview and quality assessment," ACM Comput. Surv., vol. 55, no. 8, pp. 1-31, 2022, doi: 10.1145/3548679.</t>
        </is>
      </c>
      <c r="D123" s="17" t="n"/>
      <c r="E123" s="17" t="n"/>
      <c r="F123" s="17" t="n"/>
      <c r="G123" s="17" t="n"/>
      <c r="H123" s="17" t="n"/>
      <c r="I123" s="17" t="n"/>
      <c r="J123" s="17" t="n"/>
      <c r="K123" s="17" t="n"/>
      <c r="L123" s="17" t="n"/>
      <c r="M123" s="17" t="n"/>
    </row>
    <row r="124" ht="35.05" customHeight="1" s="12">
      <c r="A124" s="16" t="n">
        <v>123</v>
      </c>
      <c r="B124" s="16" t="inlineStr">
        <is>
          <t>S58</t>
        </is>
      </c>
      <c r="C124" s="16" t="inlineStr">
        <is>
          <t>M. Piattini, M. Serrano, R. Pérez-Castillo, G. Petersen, and J. L. Hevia, "Toward a quantum software engineering," IT Prof., vol. 23, no. 1, pp. 62-66, 2021, doi: 10.1109/MITP.2020.3019522.</t>
        </is>
      </c>
      <c r="D124" s="17" t="n"/>
      <c r="E124" s="17" t="n"/>
      <c r="F124" s="17" t="n"/>
      <c r="G124" s="17" t="n"/>
      <c r="H124" s="17" t="n"/>
      <c r="I124" s="17" t="n"/>
      <c r="J124" s="17" t="n"/>
      <c r="K124" s="17" t="n"/>
      <c r="L124" s="17" t="n"/>
      <c r="M124" s="17" t="n"/>
    </row>
    <row r="125" ht="35.05" customHeight="1" s="12">
      <c r="A125" s="16" t="n">
        <v>124</v>
      </c>
      <c r="B125" s="16" t="inlineStr">
        <is>
          <t>S60</t>
        </is>
      </c>
      <c r="C125" s="16" t="inlineStr">
        <is>
          <t>M. Paltenghi and M. Pradel, "Bugs in quantum computing platforms: An empirical study," Proc. ACM Program. Lang., vol. 6, no. OOPSLA1, pp. 1-27, 2022, doi: 10.1145/3527330.</t>
        </is>
      </c>
      <c r="D125" s="17" t="n"/>
      <c r="E125" s="17" t="n"/>
      <c r="F125" s="17" t="n"/>
      <c r="G125" s="17" t="n"/>
      <c r="H125" s="17" t="n"/>
      <c r="I125" s="17" t="n"/>
      <c r="J125" s="17" t="n"/>
      <c r="K125" s="17" t="n"/>
      <c r="L125" s="17" t="n"/>
      <c r="M125" s="17" t="n"/>
    </row>
    <row r="126" ht="46.25" customHeight="1" s="12">
      <c r="A126" s="16" t="n">
        <v>125</v>
      </c>
      <c r="B126" s="16" t="inlineStr">
        <is>
          <t>S61</t>
        </is>
      </c>
      <c r="C126" s="16" t="inlineStr">
        <is>
          <t>S. Ali and T. Yue, "Quantum software testing: A brief introduction," in Proc. IEEE/ACM 45th Int. Conf. Software Engineering: Companion (ICSE-Companion), Melbourne, Australia, 2023, pp. 332-333, doi: 10.1109/ICSE-Companion58688.2023.00093.</t>
        </is>
      </c>
      <c r="D126" s="17" t="n"/>
      <c r="E126" s="17" t="n"/>
      <c r="F126" s="17" t="n"/>
      <c r="G126" s="17" t="n"/>
      <c r="H126" s="17" t="n"/>
      <c r="I126" s="17" t="n"/>
      <c r="J126" s="17" t="n"/>
      <c r="K126" s="17" t="n"/>
      <c r="L126" s="17" t="n"/>
      <c r="M126" s="17" t="n"/>
    </row>
    <row r="127" ht="35.05" customHeight="1" s="12">
      <c r="A127" s="16" t="n">
        <v>126</v>
      </c>
      <c r="B127" s="16" t="inlineStr">
        <is>
          <t>S55</t>
        </is>
      </c>
      <c r="C127" s="16" t="inlineStr">
        <is>
          <t>K. Hietala, R. Rand, S.-H. Hung, X. Wu, and M. Hicks, "A verified optimizer for quantum circuits," Proc. ACM Program. Lang., vol. 5, no. POPL, pp. 1-29, 2021, doi: 10.1145/3434318.</t>
        </is>
      </c>
      <c r="D127" s="17" t="n"/>
      <c r="E127" s="17" t="n"/>
      <c r="F127" s="17" t="n"/>
      <c r="G127" s="17" t="n"/>
      <c r="H127" s="17" t="n"/>
      <c r="I127" s="17" t="n"/>
      <c r="J127" s="17" t="n"/>
      <c r="K127" s="17" t="n"/>
      <c r="L127" s="17" t="n"/>
      <c r="M127" s="17" t="n"/>
    </row>
    <row r="128" ht="35.05" customHeight="1" s="12">
      <c r="A128" s="16" t="n">
        <v>127</v>
      </c>
      <c r="B128" s="16" t="inlineStr">
        <is>
          <t>S62</t>
        </is>
      </c>
      <c r="C128" s="16" t="inlineStr">
        <is>
          <t>M. Ying, "Floyd-Hoare logic for quantum programs," ACM Trans. Program. Lang. Syst., vol. 33, no. 6, pp. 1-49, 2011, doi: 10.1145/2049706.2049708.</t>
        </is>
      </c>
      <c r="D128" s="17" t="n"/>
      <c r="E128" s="17" t="n"/>
      <c r="F128" s="17" t="n"/>
      <c r="G128" s="17" t="n"/>
      <c r="H128" s="17" t="n"/>
      <c r="I128" s="17" t="n"/>
      <c r="J128" s="17" t="n"/>
      <c r="K128" s="17" t="n"/>
      <c r="L128" s="17" t="n"/>
      <c r="M128" s="17" t="n"/>
    </row>
    <row r="129" ht="23.85" customHeight="1" s="12">
      <c r="A129" s="16" t="n">
        <v>128</v>
      </c>
      <c r="B129" s="16" t="inlineStr">
        <is>
          <t>D16</t>
        </is>
      </c>
      <c r="C129" s="16" t="inlineStr">
        <is>
          <t>A. Govindankutty, "A review of formal methods in quantum-circuit verification," Electronics, vol. 15, no. 5, Art. no. 1125, 2026, doi: 10.3390/electronics15051125.</t>
        </is>
      </c>
      <c r="D129" s="17" t="n"/>
      <c r="E129" s="17" t="n"/>
      <c r="F129" s="17" t="n"/>
      <c r="G129" s="17" t="n"/>
      <c r="H129" s="17" t="n"/>
      <c r="I129" s="17" t="n"/>
      <c r="J129" s="17" t="n"/>
      <c r="K129" s="17" t="n"/>
      <c r="L129" s="17" t="n"/>
      <c r="M129" s="17" t="n"/>
    </row>
    <row r="130" ht="35.05" customHeight="1" s="12">
      <c r="A130" s="16" t="n">
        <v>129</v>
      </c>
      <c r="B130" s="16" t="inlineStr">
        <is>
          <t>D57</t>
        </is>
      </c>
      <c r="C130" s="16" t="inlineStr">
        <is>
          <t>Road Vehicles - Safety and Artificial Intelligence, ISO/PAS 8800:2024, International Organization for Standardization, Geneva, Switzerland, 2024.</t>
        </is>
      </c>
      <c r="D130" s="17" t="n"/>
      <c r="E130" s="17" t="n"/>
      <c r="F130" s="17" t="n"/>
      <c r="G130" s="17" t="n"/>
      <c r="H130" s="17" t="n"/>
      <c r="I130" s="17" t="n"/>
      <c r="J130" s="17" t="n"/>
      <c r="K130" s="17" t="n"/>
      <c r="L130" s="17" t="n"/>
      <c r="M130" s="17" t="n"/>
    </row>
    <row r="131" ht="23.85" customHeight="1" s="12">
      <c r="A131" s="16" t="n">
        <v>130</v>
      </c>
      <c r="B131" s="16" t="inlineStr">
        <is>
          <t>D56</t>
        </is>
      </c>
      <c r="C131" s="16" t="inlineStr">
        <is>
          <t>Standard for Safety for the Evaluation of Autonomous Products, UL 4600, Ed. 3, UL Standards &amp; Engagement, Mar. 17, 2023.</t>
        </is>
      </c>
      <c r="D131" s="17" t="n"/>
      <c r="E131" s="17" t="n"/>
      <c r="F131" s="17" t="n"/>
      <c r="G131" s="17" t="n"/>
      <c r="H131" s="17" t="n"/>
      <c r="I131" s="17" t="n"/>
      <c r="J131" s="17" t="n"/>
      <c r="K131" s="17" t="n"/>
      <c r="L131" s="17" t="n"/>
      <c r="M131" s="17" t="n"/>
    </row>
    <row r="132" ht="35.05" customHeight="1" s="12">
      <c r="A132" s="16" t="n">
        <v>131</v>
      </c>
      <c r="B132" s="16" t="inlineStr">
        <is>
          <t>D55</t>
        </is>
      </c>
      <c r="C132" s="16" t="inlineStr">
        <is>
          <t>J. Pérez-Cerrolaza, J. Abella, M. Borg, C. Donzella, J. Cerquides, F. J. Cazorla, C. Englund, M. Tauber, G. Nikolakopoulos, and J. L. Flores, "Artificial intelligence for safety-critical systems in industrial and transportation domains: A survey," ACM Comput. Surv., vol. 56, no. 7, pp. 1-40, 2024, doi: 10.1145/3626314.</t>
        </is>
      </c>
      <c r="D132" s="17" t="n"/>
      <c r="E132" s="17" t="n"/>
      <c r="F132" s="17" t="n"/>
      <c r="G132" s="17" t="n"/>
      <c r="H132" s="17" t="n"/>
      <c r="I132" s="17" t="n"/>
      <c r="J132" s="17" t="n"/>
      <c r="K132" s="17" t="n"/>
      <c r="L132" s="17" t="n"/>
      <c r="M132" s="17" t="n"/>
    </row>
    <row r="133" ht="35.05" customHeight="1" s="12">
      <c r="A133" s="16" t="n">
        <v>132</v>
      </c>
      <c r="B133" s="16" t="inlineStr">
        <is>
          <t>S47</t>
        </is>
      </c>
      <c r="C133" s="16" t="inlineStr">
        <is>
          <t>A. Pereira and C. Thomas, "Challenges of machine learning applied to safety-critical cyber-physical systems," Mach. Learn. Knowl. Extr., vol. 2, no. 4, pp. 579-602, 2020, doi: 10.3390/make2040031.</t>
        </is>
      </c>
      <c r="D133" s="17" t="n"/>
      <c r="E133" s="17" t="n"/>
      <c r="F133" s="17" t="n"/>
      <c r="G133" s="17" t="n"/>
      <c r="H133" s="17" t="n"/>
      <c r="I133" s="17" t="n"/>
      <c r="J133" s="17" t="n"/>
      <c r="K133" s="17" t="n"/>
      <c r="L133" s="17" t="n"/>
      <c r="M133" s="17" t="n"/>
    </row>
    <row r="134" ht="35.05" customHeight="1" s="12">
      <c r="A134" s="16" t="n">
        <v>133</v>
      </c>
      <c r="B134" s="16" t="inlineStr">
        <is>
          <t>D53</t>
        </is>
      </c>
      <c r="C134" s="16" t="inlineStr">
        <is>
          <t>A. Kuznietsov, B. Gyevnar, C. Wang, S. Peters, and S. V. Albrecht, "Explainable AI for safe and trustworthy autonomous driving: A systematic review," IEEE Trans. Intell. Transp. Syst., 2024, doi: 10.1109/TITS.2024.3474469.</t>
        </is>
      </c>
      <c r="D134" s="17" t="n"/>
      <c r="E134" s="17" t="n"/>
      <c r="F134" s="17" t="n"/>
      <c r="G134" s="17" t="n"/>
      <c r="H134" s="17" t="n"/>
      <c r="I134" s="17" t="n"/>
      <c r="J134" s="17" t="n"/>
      <c r="K134" s="17" t="n"/>
      <c r="L134" s="17" t="n"/>
      <c r="M134" s="17" t="n"/>
    </row>
    <row r="135" ht="57.45" customHeight="1" s="12">
      <c r="A135" s="16" t="n">
        <v>134</v>
      </c>
      <c r="B135" s="16" t="inlineStr">
        <is>
          <t>S37</t>
        </is>
      </c>
      <c r="C135" s="16" t="inlineStr">
        <is>
          <t>V. Hassija, V. Chamola, A. Mahapatra, A. Singal, D. Goel, K. Huang, S. Scardapane, I. Spinelli, M. Mahmud, and A. Hussain, "Interpreting black-box models: A review on explainable artificial intelligence," Cogn. Comput., vol. 16, no. 1, pp. 45-74, 2023, doi: 10.1007/s12559-023-10179-8.</t>
        </is>
      </c>
      <c r="D135" s="17" t="n"/>
      <c r="E135" s="17" t="n"/>
      <c r="F135" s="17" t="n"/>
      <c r="G135" s="17" t="n"/>
      <c r="H135" s="17" t="n"/>
      <c r="I135" s="17" t="n"/>
      <c r="J135" s="17" t="n"/>
      <c r="K135" s="17" t="n"/>
      <c r="L135" s="17" t="n"/>
      <c r="M135" s="17" t="n"/>
    </row>
    <row r="136" ht="46.25" customHeight="1" s="12">
      <c r="A136" s="16" t="n">
        <v>135</v>
      </c>
      <c r="B136" s="16" t="inlineStr">
        <is>
          <t>S38</t>
        </is>
      </c>
      <c r="C136" s="16" t="inlineStr">
        <is>
          <t>E. Şahin, N. N. Arslan, and D. Özdemir, "Unlocking the black box: An in-depth review on interpretability, explainability, and reliability in deep learning," Neural Comput. Appl., vol. 37, no. 2, pp. 859-965, 2024, doi: 10.1007/s00521-024-10437-2.</t>
        </is>
      </c>
      <c r="D136" s="17" t="n"/>
      <c r="E136" s="17" t="n"/>
      <c r="F136" s="17" t="n"/>
      <c r="G136" s="17" t="n"/>
      <c r="H136" s="17" t="n"/>
      <c r="I136" s="17" t="n"/>
      <c r="J136" s="17" t="n"/>
      <c r="K136" s="17" t="n"/>
      <c r="L136" s="17" t="n"/>
      <c r="M136" s="17" t="n"/>
    </row>
    <row r="137" ht="23.85" customHeight="1" s="12">
      <c r="A137" s="16" t="n">
        <v>136</v>
      </c>
      <c r="B137" s="16" t="inlineStr">
        <is>
          <t>D49</t>
        </is>
      </c>
      <c r="C137" s="16" t="inlineStr">
        <is>
          <t>H. Yin, Z. Zhao, J. H. Yan, and D. Watzenig, "Certified robustness in automated driving perception: A review," Automot. Innov., vol. 8, no. 4, pp. 817-837, 2025, doi: 10.1007/s42154-024-00347-3.</t>
        </is>
      </c>
      <c r="D137" s="17" t="n"/>
      <c r="E137" s="17" t="n"/>
      <c r="F137" s="17" t="n"/>
      <c r="G137" s="17" t="n"/>
      <c r="H137" s="17" t="n"/>
      <c r="I137" s="17" t="n"/>
      <c r="J137" s="17" t="n"/>
      <c r="K137" s="17" t="n"/>
      <c r="L137" s="17" t="n"/>
      <c r="M137" s="17" t="n"/>
    </row>
    <row r="138" ht="35.05" customHeight="1" s="12">
      <c r="A138" s="16" t="n">
        <v>137</v>
      </c>
      <c r="B138" s="16" t="inlineStr">
        <is>
          <t>D48</t>
        </is>
      </c>
      <c r="C138" s="16" t="inlineStr">
        <is>
          <t>J. Kim and A. Kaur, "A survey on adversarial robustness of LiDAR-based machine learning perception in autonomous vehicles," arXiv:2411.13778, 2024.</t>
        </is>
      </c>
      <c r="D138" s="17" t="n"/>
      <c r="E138" s="17" t="n"/>
      <c r="F138" s="17" t="n"/>
      <c r="G138" s="17" t="n"/>
      <c r="H138" s="17" t="n"/>
      <c r="I138" s="17" t="n"/>
      <c r="J138" s="17" t="n"/>
      <c r="K138" s="17" t="n"/>
      <c r="L138" s="17" t="n"/>
      <c r="M138" s="17" t="n"/>
    </row>
    <row r="139" ht="35.05" customHeight="1" s="12">
      <c r="A139" s="16" t="n">
        <v>138</v>
      </c>
      <c r="B139" s="16" t="inlineStr">
        <is>
          <t>D26</t>
        </is>
      </c>
      <c r="C139" s="16" t="inlineStr">
        <is>
          <t>Assurance Case Working Group, "Goal Structuring Notation community standard, version 3," Safety-Critical Systems Club, SCSC-141C, 2021.</t>
        </is>
      </c>
      <c r="D139" s="17" t="n"/>
      <c r="E139" s="17" t="n"/>
      <c r="F139" s="17" t="n"/>
      <c r="G139" s="17" t="n"/>
      <c r="H139" s="17" t="n"/>
      <c r="I139" s="17" t="n"/>
      <c r="J139" s="17" t="n"/>
      <c r="K139" s="17" t="n"/>
      <c r="L139" s="17" t="n"/>
      <c r="M139" s="17" t="n"/>
    </row>
    <row r="140" ht="35.05" customHeight="1" s="12">
      <c r="A140" s="16" t="n">
        <v>139</v>
      </c>
      <c r="B140" s="16" t="inlineStr">
        <is>
          <t>D27</t>
        </is>
      </c>
      <c r="C140" s="16" t="inlineStr">
        <is>
          <t>M. Wagner and C. Carlan, "The open autonomy safety case framework," Safety-Critical Systems eJournal, vol. 3, no. 1, 2024. arXiv:2404.05444.</t>
        </is>
      </c>
      <c r="D140" s="17" t="n"/>
      <c r="E140" s="17" t="n"/>
      <c r="F140" s="17" t="n"/>
      <c r="G140" s="17" t="n"/>
      <c r="H140" s="17" t="n"/>
      <c r="I140" s="17" t="n"/>
      <c r="J140" s="17" t="n"/>
      <c r="K140" s="17" t="n"/>
      <c r="L140" s="17" t="n"/>
      <c r="M140" s="17" t="n"/>
    </row>
    <row r="141" ht="35.05" customHeight="1" s="12">
      <c r="A141" s="16" t="n">
        <v>140</v>
      </c>
      <c r="B141" s="16" t="inlineStr">
        <is>
          <t>D28</t>
        </is>
      </c>
      <c r="C141" s="16" t="inlineStr">
        <is>
          <t>M. Chelouati, A. Boussif, J. Beugin, and E.-M. El Koursi, "Graphical safety assurance case using goal structuring notation (GSN) - challenges, opportunities and a framework for autonomous trains," Reliab. Eng. Syst. Saf., vol. 230, Art. no. 108933, 2023, doi: 10.1016/j.ress.2022.108933.</t>
        </is>
      </c>
      <c r="D141" s="17" t="n"/>
      <c r="E141" s="17" t="n"/>
      <c r="F141" s="17" t="n"/>
      <c r="G141" s="17" t="n"/>
      <c r="H141" s="17" t="n"/>
      <c r="I141" s="17" t="n"/>
      <c r="J141" s="17" t="n"/>
      <c r="K141" s="17" t="n"/>
      <c r="L141" s="17" t="n"/>
      <c r="M141" s="17" t="n"/>
    </row>
    <row r="142" ht="46.25" customHeight="1" s="12">
      <c r="A142" s="16" t="n">
        <v>141</v>
      </c>
      <c r="B142" s="16" t="inlineStr">
        <is>
          <t>D29</t>
        </is>
      </c>
      <c r="C142" s="16" t="inlineStr">
        <is>
          <t>R. Wei, S. Foster, H. Mei, F. Yan, R. Yang, I. Habli, C. O'Halloran, N. Tudor, T. Kelly, and Y. Nemouchi, "ACCESS: Assurance case centric engineering of safety-critical systems," J. Syst. Softw., 2024, Art. no. 112034, doi: 10.1016/j.jss.2024.112034.</t>
        </is>
      </c>
      <c r="D142" s="17" t="n"/>
      <c r="E142" s="17" t="n"/>
      <c r="F142" s="17" t="n"/>
      <c r="G142" s="17" t="n"/>
      <c r="H142" s="17" t="n"/>
      <c r="I142" s="17" t="n"/>
      <c r="J142" s="17" t="n"/>
      <c r="K142" s="17" t="n"/>
      <c r="L142" s="17" t="n"/>
      <c r="M142" s="17" t="n"/>
    </row>
    <row r="143" ht="46.25" customHeight="1" s="12">
      <c r="A143" s="16" t="n">
        <v>142</v>
      </c>
      <c r="B143" s="16" t="inlineStr">
        <is>
          <t>C29</t>
        </is>
      </c>
      <c r="C143" s="16" t="inlineStr">
        <is>
          <t>C. Paterson, R. D. Hawkins, C. Picardi, Y. Jia, R. Calinescu, and I. Habli, "Safety assurance of machine learning for autonomous systems," Reliab. Eng. Syst. Saf., vol. 264, Art. no. 111311, 2025, doi: 10.1016/j.ress.2025.111311.</t>
        </is>
      </c>
      <c r="D143" s="17" t="inlineStr">
        <is>
          <t>Safety case / discussion</t>
        </is>
      </c>
      <c r="E143" s="17" t="n"/>
      <c r="F143" s="17" t="n"/>
      <c r="G143" s="17" t="n"/>
      <c r="H143" s="17" t="n"/>
      <c r="I143" s="17" t="n"/>
      <c r="J143" s="17" t="n"/>
      <c r="K143" s="17" t="n"/>
      <c r="L143" s="17" t="n"/>
      <c r="M143" s="17" t="n"/>
    </row>
    <row r="144" ht="35.05" customHeight="1" s="12">
      <c r="A144" s="16" t="n">
        <v>143</v>
      </c>
      <c r="B144" s="16" t="inlineStr">
        <is>
          <t>C30</t>
        </is>
      </c>
      <c r="C144" s="16" t="inlineStr">
        <is>
          <t>R. Hawkins, C. Paterson, C. Picardi, Y. Jia, R. Calinescu, and I. Habli, "Guidance on the assurance of machine learning in autonomous systems (AMLAS)," arXiv:2102.01564, 2021.</t>
        </is>
      </c>
      <c r="D144" s="17" t="inlineStr">
        <is>
          <t>Safety case / discussion</t>
        </is>
      </c>
      <c r="E144" s="17" t="n"/>
      <c r="F144" s="17" t="n"/>
      <c r="G144" s="17" t="n"/>
      <c r="H144" s="17" t="n"/>
      <c r="I144" s="17" t="n"/>
      <c r="J144" s="17" t="n"/>
      <c r="K144" s="17" t="n"/>
      <c r="L144" s="17" t="n"/>
      <c r="M144" s="17" t="n"/>
    </row>
    <row r="145" ht="35.05" customHeight="1" s="12">
      <c r="A145" s="16" t="n">
        <v>144</v>
      </c>
      <c r="B145" s="16" t="inlineStr">
        <is>
          <t>C38</t>
        </is>
      </c>
      <c r="C145" s="16" t="inlineStr">
        <is>
          <t>UN Regulation No. 157 - Uniform provisions concerning the approval of vehicles with regard to Automated Lane Keeping Systems (ALKS), Revision 1, UNECE, 2025.</t>
        </is>
      </c>
      <c r="D145" s="17" t="inlineStr">
        <is>
          <t>MQ1 (corpus source)</t>
        </is>
      </c>
      <c r="E145" s="17" t="n"/>
      <c r="F145" s="17" t="n"/>
      <c r="G145" s="17" t="n"/>
      <c r="H145" s="17" t="n"/>
      <c r="I145" s="17" t="n"/>
      <c r="J145" s="17" t="n"/>
      <c r="K145" s="17" t="n"/>
      <c r="L145" s="17" t="n"/>
      <c r="M145" s="17" t="n"/>
    </row>
    <row r="146" ht="46.25" customHeight="1" s="12">
      <c r="A146" s="16" t="n">
        <v>145</v>
      </c>
      <c r="B146" s="16" t="inlineStr">
        <is>
          <t>C36</t>
        </is>
      </c>
      <c r="C146" s="16" t="inlineStr">
        <is>
          <t>A. Ferrari, G. O. Spagnolo, and S. Gnesi, "PURE: A dataset of public requirements documents," in Proc. IEEE 25th Int. Requirements Eng. Conf. (RE), 2017, pp. 502-505. Dataset: doi: 10.5281/zenodo.1414117.</t>
        </is>
      </c>
      <c r="D146" s="17" t="inlineStr">
        <is>
          <t>MQ2 (data)</t>
        </is>
      </c>
      <c r="E146" s="17" t="n"/>
      <c r="F146" s="17" t="n"/>
      <c r="G146" s="17" t="n"/>
      <c r="H146" s="17" t="n"/>
      <c r="I146" s="17" t="n"/>
      <c r="J146" s="17" t="n"/>
      <c r="K146" s="17" t="n"/>
      <c r="L146" s="17" t="n"/>
      <c r="M146" s="17" t="n"/>
    </row>
    <row r="147" ht="35.05" customHeight="1" s="12">
      <c r="A147" s="16" t="n">
        <v>146</v>
      </c>
      <c r="B147" s="16" t="inlineStr">
        <is>
          <t>COHEN</t>
        </is>
      </c>
      <c r="C147" s="16" t="inlineStr">
        <is>
          <t>J. Cohen, "A coefficient of agreement for nominal scales," Educ. Psychol. Meas., vol. 20, no. 1, pp. 37-46, 1960, doi: 10.1177/001316446002000104.</t>
        </is>
      </c>
      <c r="D147" s="17" t="n"/>
      <c r="E147" s="17" t="n"/>
      <c r="F147" s="17" t="n"/>
      <c r="G147" s="17" t="n"/>
      <c r="H147" s="17" t="n"/>
      <c r="I147" s="17" t="n"/>
      <c r="J147" s="17" t="n"/>
      <c r="K147" s="17" t="n"/>
      <c r="L147" s="17" t="n"/>
      <c r="M147" s="1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2026-09-27T09:52:03Z</dcterms:created>
  <dcterms:modified xmlns:dcterms="http://purl.org/dc/terms/" xmlns:xsi="http://www.w3.org/2001/XMLSchema-instance" xsi:type="dcterms:W3CDTF">2026-09-27T10:16:33Z</dcterms:modified>
  <cp:revision>0</cp:revision>
</cp:coreProperties>
</file>
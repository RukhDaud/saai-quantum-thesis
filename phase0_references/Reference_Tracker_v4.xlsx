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andidates (Phase 1 pilot)" sheetId="2" state="visible" r:id="rId4"/>
    <sheet name="References" sheetId="3" state="visible" r:id="rId5"/>
    <sheet name="Removed" sheetId="4" state="visible" r:id="rId6"/>
    <sheet name="Text corrections" sheetId="5" state="visible" r:id="rId7"/>
  </sheets>
  <definedNames>
    <definedName function="false" hidden="true" localSheetId="1" name="_xlnm._FilterDatabase" vbProcedure="false">'Candidates (Phase 1 pilot)'!$A$1:$G$39</definedName>
    <definedName function="false" hidden="true" localSheetId="2" name="_xlnm._FilterDatabase" vbProcedure="false">References!$A$1:$G$119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<sst xmlns="http://schemas.openxmlformats.org/spreadsheetml/2006/main" count="970" uniqueCount="645">
  <si>
    <t xml:space="preserve">Status</t>
  </si>
  <si>
    <t xml:space="preserve">Count</t>
  </si>
  <si>
    <t xml:space="preserve">Meaning</t>
  </si>
  <si>
    <t xml:space="preserve">Checked</t>
  </si>
  <si>
    <t xml:space="preserve">Opened the publisher/arXiv/official record and confirmed title, authors and venue.</t>
  </si>
  <si>
    <t xml:space="preserve">Found</t>
  </si>
  <si>
    <t xml:space="preserve">Real record located; some details (authors, pages, DOI) still to add from the publisher record.</t>
  </si>
  <si>
    <t xml:space="preserve">Problem-fixed</t>
  </si>
  <si>
    <t xml:space="preserve">Had an error (wrong authors, title, source or unsupported figures); corrected entry shown.</t>
  </si>
  <si>
    <t xml:space="preserve">Problem-pending</t>
  </si>
  <si>
    <t xml:space="preserve">Real and kept, but one detail must be confirmed from full text.</t>
  </si>
  <si>
    <t xml:space="preserve">Total kept</t>
  </si>
  <si>
    <t xml:space="preserve">Removed</t>
  </si>
  <si>
    <t xml:space="preserve">Duplicates, weak or wrong sources (see Removed sheet).</t>
  </si>
  <si>
    <t xml:space="preserve">Phase 1 pilot candidates</t>
  </si>
  <si>
    <t xml:space="preserve">Found in the pilot search; decide inclusion in column G after reading. Not yet counted in the 118.</t>
  </si>
  <si>
    <t xml:space="preserve">ID</t>
  </si>
  <si>
    <t xml:space="preserve">Mapping question</t>
  </si>
  <si>
    <t xml:space="preserve">IEEE reference (verified details only)</t>
  </si>
  <si>
    <t xml:space="preserve">What the paper does / key finding (from the source)</t>
  </si>
  <si>
    <t xml:space="preserve">Relevance and how it differs from this thesis</t>
  </si>
  <si>
    <t xml:space="preserve">Include? (Y/N)</t>
  </si>
  <si>
    <t xml:space="preserve">C1</t>
  </si>
  <si>
    <t xml:space="preserve">MQ1</t>
  </si>
  <si>
    <t xml:space="preserve">M. Skoglund, F. Warg, A. Thorsén, H. Hansson, and S. Punnekkat, "Formalizing operational design domains with the Pkl language," arXiv:2509.02221, 2025.</t>
  </si>
  <si>
    <t xml:space="preserve">Machine-readable ODD specification in the Pkl configuration language using the ISO 34503 taxonomy. States it does not derive ODDs from requirements; test-scenario allocation is future work; traceability only partially met ('native traceability is lacking').</t>
  </si>
  <si>
    <t xml:space="preserve">HIGH - closest recent work on formal ODD specification; confirms the requirement-to-ODD and ODD-to-scenario gaps. Also points to ISO 34503 (add as standard).</t>
  </si>
  <si>
    <t xml:space="preserve">C2</t>
  </si>
  <si>
    <t xml:space="preserve">MQ1, MQ3, MQ5</t>
  </si>
  <si>
    <t xml:space="preserve">D. Hillen, M. Lorenz, J. Reich, R. Adler, P. Wolf, S. A. Zafar, and A. Salvi, "Navigating the landscape of operational design domains: A comprehensive mapping study," Next Res., vol. 2, no. 4, Art. no. 101036, 2025, doi: 10.1016/j.nexres.2025.101036.</t>
  </si>
  <si>
    <t xml:space="preserve">Mapping study of 120 research papers and 53 industry studies; 4 RQs (constraining the ODD, validating an ADS based on the ODD, ODD exit monitors, formal ODD specification). Concludes 'one ODD description is insufficient' and 'a lack of methods' for ODD change management.</t>
  </si>
  <si>
    <t xml:space="preserve">CRITICAL - a mapping study close to Paper 1. Paper 1 must position against it: it does not cover deriving ODDs from safety requirements, requirement traceability, or quantum optimisation.</t>
  </si>
  <si>
    <t xml:space="preserve">C3</t>
  </si>
  <si>
    <t xml:space="preserve">M. Aguirre Mehlhorn, A. Richter, and Y. A. W. Shardt, "Ruling the operational boundaries: A survey on operational design domains of autonomous driving systems," IFAC-PapersOnLine, vol. 56, no. 2, pp. 2202-2213, 2023, doi: 10.1016/j.ifacol.2023.10.1128.</t>
  </si>
  <si>
    <t xml:space="preserve">Survey categorising ODD research for ADS and identifying research gaps.</t>
  </si>
  <si>
    <t xml:space="preserve">HIGH - core ODD survey for Ch. 2.</t>
  </si>
  <si>
    <t xml:space="preserve">C4</t>
  </si>
  <si>
    <t xml:space="preserve">H. Torfah, C. Xie, S. Junges, M. Vazquez-Chanlatte, and S. A. Seshia, "Learning monitorable operational design domains for assured autonomy," in Automated Technology for Verification and Analysis (ATVA 2022), Lecture Notes in Computer Science, vol. 13505. Cham, Switzerland: Springer, 2022, pp. 3-22, doi: 10.1007/978-3-031-19992-9_1.</t>
  </si>
  <si>
    <t xml:space="preserve">Learns runtime ODD monitors for ML-based autonomous systems using counterexample-guided refinement and conformance testing; evaluated on autonomous driving scenarios.</t>
  </si>
  <si>
    <t xml:space="preserve">HIGH - data-learned ODD boundary, a contrast to requirement-derived boundaries (Phase A).</t>
  </si>
  <si>
    <t xml:space="preserve">C5</t>
  </si>
  <si>
    <t xml:space="preserve">L. Mendiboure, M. L. Benzagouta, D. Gruyer, T. Sylla, M. Adedjouma, and A. Hedhli, "Operational design domain for automated driving systems: Taxonomy definition and application," in Proc. IEEE Intelligent Vehicles Symp. (IV), 2023, doi: 10.1109/IV55152.2023.10186765.</t>
  </si>
  <si>
    <t xml:space="preserve">Generic ODD taxonomy with six categories (physical infrastructure, scenery, environmental conditions, traffic conditions, digital infrastructure, vehicle capabilities); applied to the BuSAS use case.</t>
  </si>
  <si>
    <t xml:space="preserve">MEDIUM-HIGH - alternative taxonomy to PAS 1883 for the Phase A target schema.</t>
  </si>
  <si>
    <t xml:space="preserve">C6</t>
  </si>
  <si>
    <t xml:space="preserve">Road Vehicles - Test Scenarios for Automated Driving Systems - Specification for Operational Design Domain, ISO 34503:2023, International Organization for Standardization, Geneva, Switzerland, 2023.</t>
  </si>
  <si>
    <t xml:space="preserve">International standard for ODD specification in the context of ADS test scenarios (ISO catalogue 78952).</t>
  </si>
  <si>
    <t xml:space="preserve">CRITICAL - the ISO ODD taxonomy standard; Phase A should map to ISO 34503 and/or PAS 1883.</t>
  </si>
  <si>
    <t xml:space="preserve">C7</t>
  </si>
  <si>
    <t xml:space="preserve">ASAM e.V., "ASAM OpenODD, version 1.0.0," Apr. 3, 2025. [Online]. Available: https://publications.pages.asam.net/standards/ASAM_OpenODD/ASAM_OpenODD/latest/specification/00_preface/00_introduction.html</t>
  </si>
  <si>
    <t xml:space="preserve">Machine-interpretable ODD specification standard; version 1.0.0 dated 2025-04-03 (the older ASAM product page still describes it as a concept).</t>
  </si>
  <si>
    <t xml:space="preserve">HIGH - the machine-readable format arXiv 2408.14481 defers to; candidate output format for Phase A predicates.</t>
  </si>
  <si>
    <t xml:space="preserve">C8</t>
  </si>
  <si>
    <t xml:space="preserve">M. Gyllenhammar, R. Johansson, F. Warg, D. Chen, H.-M. Heyn, M. Sanfridson, J. Söderberg, A. Thorsén, and S. Ursing, "Towards an operational design domain that supports the safety argumentation of an automated driving system," in Proc. 10th European Congress on Embedded Real Time Systems (ERTS), Toulouse, France, 2020.</t>
  </si>
  <si>
    <t xml:space="preserve">Links ODD definition to the safety case; proposes four generic strategies to keep the system within its ODD, using use cases mapped to operating conditions.</t>
  </si>
  <si>
    <t xml:space="preserve">HIGH - ties ODD to safety argumentation and requirements; supports the requirement-to-ODD link.</t>
  </si>
  <si>
    <t xml:space="preserve">C9</t>
  </si>
  <si>
    <t xml:space="preserve">MQ1, MQ3</t>
  </si>
  <si>
    <t xml:space="preserve">M. Skoglund, F. Warg, A. Thorsén, S. Punnekkat, and H. Hansson, "Methodology for test case allocation based on a formalized ODD," arXiv:2509.02311, 2025.</t>
  </si>
  <si>
    <t xml:space="preserve">Extends a Pkl-formalised ODD with test-environment attributes to allocate test cases to environments (simulation, HIL); rule-based comparison ('genericCompare'), no optimisation; reversing-truck case study.</t>
  </si>
  <si>
    <t xml:space="preserve">CRITICAL - nearest neighbour to Phase B. Difference: it allocates existing test cases to environments by rule matching; it does not select scenarios by optimisation, and does not start from natural-language safety requirements.</t>
  </si>
  <si>
    <t xml:space="preserve">C10</t>
  </si>
  <si>
    <t xml:space="preserve">MQ2</t>
  </si>
  <si>
    <t xml:space="preserve">B. V. Balu, F. Geissler, F. Carella, J.-V. Zacchi, J. Jiru, N. Mata, and R. Stolle, "Towards automated safety requirements derivation using agent-based RAG," arXiv:2504.11243, 2025.</t>
  </si>
  <si>
    <t xml:space="preserve">Agent-based retrieval-augmented generation derives safety requirements for the Apollo ADS from automotive safety standards; outperforms default RAG on retrieval precision.</t>
  </si>
  <si>
    <t xml:space="preserve">MEDIUM-HIGH - LLM route to safety requirements (upstream of Phase A).</t>
  </si>
  <si>
    <t xml:space="preserve">C11</t>
  </si>
  <si>
    <t xml:space="preserve">M. Ito, "ODD description methods for automated driving vehicle and verifiability for safety," J. Univers. Comput. Sci., vol. 27, no. 8, pp. 796-810, 2021, doi: 10.3897/jucs.72333.</t>
  </si>
  <si>
    <t xml:space="preserve">Proposes ODD description methods evaluated from a safety perspective and aligned with existing standards and guidelines.</t>
  </si>
  <si>
    <t xml:space="preserve">MEDIUM - ODD description and verifiability.</t>
  </si>
  <si>
    <t xml:space="preserve">C12</t>
  </si>
  <si>
    <t xml:space="preserve">"Identifying the operational design domain for an automated driving system through assessed risk," IEEE conference paper, IEEE Xplore document 9304552.</t>
  </si>
  <si>
    <t xml:space="preserve">Title indicates deriving the ODD from assessed risk - directly relevant to requirement/risk-derived ODDs.</t>
  </si>
  <si>
    <t xml:space="preserve">HIGH if confirmed - details (authors, conference, year, DOI) blocked by rate limits; confirm on IEEE Xplore.</t>
  </si>
  <si>
    <t xml:space="preserve">C13</t>
  </si>
  <si>
    <t xml:space="preserve">H. Xu, Y. Li, H. Qin, Y. Bian, S. Jiang, W. Que, and J. Man, "Ensuring safe operation of autonomous vehicle: A comprehensive survey of operational design condition," Accid. Anal. Prev., vol. 227, Art. no. 108366, 2026, doi: 10.1016/j.aap.2025.108366.</t>
  </si>
  <si>
    <t xml:space="preserve">Review of the Operational Design Condition (ODC) framework, which extends the ODD with driver/passenger status and vehicle condition; presents a closed-loop ODC development method including hazard analysis, monitoring and extension strategies.</t>
  </si>
  <si>
    <t xml:space="preserve">HIGH - recent ODD/ODC survey linking hazard analysis to operating conditions.</t>
  </si>
  <si>
    <t xml:space="preserve">C14</t>
  </si>
  <si>
    <t xml:space="preserve">MQ4</t>
  </si>
  <si>
    <t xml:space="preserve">A. Trovato, M. De Stefano, F. Pecorelli, D. Di Nucci, and A. De Lucia, "Reformulating regression test suite optimization using quantum annealing - an empirical study," Int. J. Softw. Tools Technol. Transf., doi: 10.1007/s10009-024-00775-w. arXiv:2411.15963.</t>
  </si>
  <si>
    <t xml:space="preserve">SelectQA: test case selection reformulated as QUBO, solved with D-Wave's hybrid solver; outperforms BootQA in effectiveness and is 'comparable to' Additional Greedy and DIV-GA.</t>
  </si>
  <si>
    <t xml:space="preserve">HIGH - direct precedent for QUBO test selection and for the baselines used by the QAOA-TCS paper (D18). Journal volume/pages to confirm.</t>
  </si>
  <si>
    <t xml:space="preserve">C15</t>
  </si>
  <si>
    <t xml:space="preserve">X. Wang, S. Ali, T. Yue, and P. Arcaini, "Quantum approximate optimization algorithm for test case optimization," arXiv:2312.15547, 2023.</t>
  </si>
  <si>
    <t xml:space="preserve">IGDec-QAOA evaluated on 4 industrial datasets (Paint Control 90 tests, IOF/ROL 1,941, GSDTSR 5,555, ELEVATOR 1,925), on ideal and noisy simulators and IBM hardware (ibm_brisbane); comparable to classical, outperforms GA on 2 of 5 problems; authors state it 'does not intend to demonstrate the quantum advantage'.</t>
  </si>
  <si>
    <t xml:space="preserve">HIGH - QAOA with decomposition for large test suites; model for Phase B decomposition and honest reporting. Check for a peer-reviewed version (e.g., IEEE TSE).</t>
  </si>
  <si>
    <t xml:space="preserve">C16</t>
  </si>
  <si>
    <t xml:space="preserve">MQ2, MQ3</t>
  </si>
  <si>
    <t xml:space="preserve">C. E. Tuncali, G. Fainekos, D. Prokhorov, H. Ito, and J. Kapinski, "Requirements-driven test generation for autonomous vehicles with machine learning components," arXiv:1908.01094, 2019.</t>
  </si>
  <si>
    <t xml:space="preserve">Sim-ATAV: requirements written in Signal Temporal Logic drive test generation via covering arrays and robustness-guided falsification; closed-loop AV with camera, lidar, radar models and a DNN detector.</t>
  </si>
  <si>
    <t xml:space="preserve">CRITICAL - requirement-driven scenario generation for AVs. Difference: starts from hand-written STL, not natural-language requirements; no ODD mapping; classical optimisation. Check for peer-reviewed version (IEEE Trans. Intelligent Vehicles).</t>
  </si>
  <si>
    <t xml:space="preserve">C17</t>
  </si>
  <si>
    <t xml:space="preserve">MQ3</t>
  </si>
  <si>
    <t xml:space="preserve">T. Menzel, G. Bagschik, and M. Maurer, "Scenarios for development, test and validation of automated vehicles," in Proc. IEEE Intelligent Vehicles Symp. (IV), 2018. arXiv:1801.08598.</t>
  </si>
  <si>
    <t xml:space="preserve">Defines functional, logical and concrete scenario abstraction levels across the ISO 26262 development process.</t>
  </si>
  <si>
    <t xml:space="preserve">HIGH - foundational scenario terminology used by Phase B seed generation. Add pages/DOI from IEEE Xplore.</t>
  </si>
  <si>
    <t xml:space="preserve">C18</t>
  </si>
  <si>
    <t xml:space="preserve">J. He, E. Bartocci, D. Ničković, H. Isakovic, and R. Grosu, "DeepSTL - From English requirements to signal temporal logic," in Proc. 44th Int. Conf. Software Engineering (ICSE), 2022, doi: 10.1145/3510003.3510171.</t>
  </si>
  <si>
    <t xml:space="preserve">Grammar-based synthetic training data plus transformer translation from English requirements to STL; reports 'high translation quality for patterns of English requirements that have been well trained'.</t>
  </si>
  <si>
    <t xml:space="preserve">HIGH - a trained NL-to-formal translator; direct comparison point for Phase A.</t>
  </si>
  <si>
    <t xml:space="preserve">C19</t>
  </si>
  <si>
    <t xml:space="preserve">A. Nayak, H. P. Timmapathini, V. Murali, K. Ponnalagu, V. G. Venkoparao, and A. Post, "Req2Spec: Transforming software requirements into formal specifications using natural language processing," in Requirements Engineering: Foundation for Software Quality (REFSQ 2022), Lecture Notes in Computer Science, vol. 13216. Cham, Switzerland: Springer, 2022, pp. 87-95, doi: 10.1007/978-3-030-98464-9_8.</t>
  </si>
  <si>
    <t xml:space="preserve">NLP pipeline turning natural-language requirements into HANFOR formal specifications; '222 automotive domain software requirements at BOSCH, 71% of which were correctly formalized'.</t>
  </si>
  <si>
    <t xml:space="preserve">CRITICAL - the primary source Phase A is modelled on. The draft currently cites it only second-hand through a survey: cite this directly.</t>
  </si>
  <si>
    <t xml:space="preserve">C20</t>
  </si>
  <si>
    <t xml:space="preserve">S. Khastgir, S. Brewerton, J. Thomas, and P. Jennings, "Systems approach to creating test scenarios for automated driving systems," Reliab. Eng. Syst. Saf., vol. 215, Art. no. 107610, 2021, doi: 10.1016/j.ress.2021.107610.</t>
  </si>
  <si>
    <t xml:space="preserve">Systems-theoretic approach to systematically create test scenarios for ADS safety validation; argues the types of scenarios matter more than test mileage.</t>
  </si>
  <si>
    <t xml:space="preserve">HIGH - hazard-driven scenario creation; a classical route from safety analysis to scenarios.</t>
  </si>
  <si>
    <t xml:space="preserve">C21</t>
  </si>
  <si>
    <t xml:space="preserve">S. Riedmaier, T. Ponn, D. Ludwig, B. Schick, and F. Diermeyer, "Survey on scenario-based safety assessment of automated vehicles," IEEE Access, vol. 8, pp. 87456-87477, 2020, doi: 10.1109/ACCESS.2020.2993730.</t>
  </si>
  <si>
    <t xml:space="preserve">Taxonomy of scenario-based safety assessment; identifies selecting representative scenarios from an effectively infinite space as a central challenge; proposes combining scenario-based testing with formal verification.</t>
  </si>
  <si>
    <t xml:space="preserve">HIGH - core survey for Ch. 2 and the scenario-selection motivation of Phase B.</t>
  </si>
  <si>
    <t xml:space="preserve">C22</t>
  </si>
  <si>
    <t xml:space="preserve">D. J. Fremont, T. Dreossi, S. Ghosh, X. Yue, A. L. Sangiovanni-Vincentelli, and S. A. Seshia, "Scenic: A language for scenario specification and scene generation," in Proc. 40th ACM SIGPLAN Conf. Programming Language Design and Implementation (PLDI), 2019, doi: 10.1145/3314221.3314633.</t>
  </si>
  <si>
    <t xml:space="preserve">Probabilistic programming language for specifying distributions over scenarios and sampling them to generate test and training sets.</t>
  </si>
  <si>
    <t xml:space="preserve">HIGH - candidate scenario language for executing Phase B's selected scenarios in CARLA.</t>
  </si>
  <si>
    <t xml:space="preserve">C23</t>
  </si>
  <si>
    <t xml:space="preserve">MQ2, MQ3, MQ5</t>
  </si>
  <si>
    <t xml:space="preserve">K. Elmaaroufi, D. Shanker, A. Cismaru, M. Vazquez-Chanlatte, A. Sangiovanni-Vincentelli, M. Zaharia, and S. A. Seshia, "Generating probabilistic scenario programs from natural language," arXiv:2405.03709, 2024.</t>
  </si>
  <si>
    <t xml:space="preserve">ScenarioNL converts natural-language California DMV crash reports into executable Scenic programs simulated in CARLA; 'syntactically-correct programs at rates of up to 90%'; ARE composite score 4.3 +/- 0.1 vs baselines 2.0-3.6.</t>
  </si>
  <si>
    <t xml:space="preserve">CRITICAL - nearest neighbour to the full pipeline. Differences: input is crash reports, not safety requirements; no ODD boundary predicates; no requirement traceability; no optimised selection. Must appear in the novelty table.</t>
  </si>
  <si>
    <t xml:space="preserve">C24</t>
  </si>
  <si>
    <t xml:space="preserve">Y. Deng, J. Yao, Z. Tu, M. Zhang, X. Zheng, and T. Zhang, "TARGET: Automated scenario generation from traffic rules for testing autonomous vehicles," arXiv:2305.06018, 2023.</t>
  </si>
  <si>
    <t xml:space="preserve">LLM parses natural-language traffic rules (Texas Driver Handbook) into executable CARLA scenarios; 217 scenarios on 8 maps, about 700 violations/collisions found; 90 of 98 rules parsed at 100% accuracy; mean Fleiss' kappa 0.68 in human evaluation.</t>
  </si>
  <si>
    <t xml:space="preserve">CRITICAL - nearest neighbour for NL-to-scenario generation. Differences: traffic rules not safety requirements; no ODD boundary predicates; no optimised selection. Novelty table. Check peer-reviewed version.</t>
  </si>
  <si>
    <t xml:space="preserve">C25</t>
  </si>
  <si>
    <t xml:space="preserve">B. Jian, R. Yu, H. Wang, L. Wang, and Z. Zou, "Towards lawful autonomous driving: Deriving scenario-aware driving requirements from traffic laws and regulations," arXiv:2604.24562, 2026.</t>
  </si>
  <si>
    <t xml:space="preserve">LLM pipeline with taxonomy-guided anchoring (227-node taxonomy integrating OpenDRIVE/OpenSCENARIO) derives mandatory/prohibitive driving requirements from traffic law; law-scenario matching F1 0.804 vs 0.513 baseline.</t>
  </si>
  <si>
    <t xml:space="preserve">HIGH - taxonomy-anchored extraction with traceability, methodologically close to Phase A (preprint).</t>
  </si>
  <si>
    <t xml:space="preserve">C26</t>
  </si>
  <si>
    <t xml:space="preserve">Y. Zhao, J. Zhou, D. Bi, T. Mihalj, J. Hu, and A. Eichberger, "A survey on the application of large language models in scenario-based testing of automated driving systems," IEEE Trans. Intell. Transp. Syst., vol. 27, no. 5, pp. 5001-5023, 2026, doi: 10.1109/TITS.2026.3651004.</t>
  </si>
  <si>
    <t xml:space="preserve">Survey of LLM use across scenario-based ADS testing.</t>
  </si>
  <si>
    <t xml:space="preserve">HIGH - most recent peer-reviewed survey for the LLM-for-scenarios thread.</t>
  </si>
  <si>
    <t xml:space="preserve">C27</t>
  </si>
  <si>
    <t xml:space="preserve">Road Vehicles - Test Scenarios for Automated Driving Systems - Scenario Based Safety Evaluation Framework, ISO 34502:2022, International Organization for Standardization, Geneva, Switzerland, 2022.</t>
  </si>
  <si>
    <t xml:space="preserve">ISO framework for scenario-based safety evaluation of ADS (ISO catalogue 78951).</t>
  </si>
  <si>
    <t xml:space="preserve">HIGH - standard framing for Phase B scenario generation.</t>
  </si>
  <si>
    <t xml:space="preserve">C28</t>
  </si>
  <si>
    <t xml:space="preserve">RQ4 (traceability under change)</t>
  </si>
  <si>
    <t xml:space="preserve">R. Wohlrab, P. Pelliccione, A. Shahrokni, and E. Knauss, "Why and how your traceability should evolve: Insights from an automotive supplier," arXiv:2005.09414.</t>
  </si>
  <si>
    <t xml:space="preserve">Three-year automotive-supplier case study: traceability rigor should vary with lifecycle maturity and organisational distance; 'consistency was less important in early development, but crucial right before a release'; tools need versioning and change propagation.</t>
  </si>
  <si>
    <t xml:space="preserve">HIGH - evidence for RQ4 (trace survival under requirement change). Venue appears to be IEEE Software but is not confirmed: check before citing.</t>
  </si>
  <si>
    <t xml:space="preserve">C29</t>
  </si>
  <si>
    <t xml:space="preserve">Safety case / discussion</t>
  </si>
  <si>
    <t xml:space="preserve">C. Paterson, R. D. Hawkins, C. Picardi, Y. Jia, R. Calinescu, and I. Habli, "Safety assurance of machine learning for autonomous systems," Reliab. Eng. Syst. Saf., vol. 264, Art. no. 111311, 2025, doi: 10.1016/j.ress.2025.111311.</t>
  </si>
  <si>
    <t xml:space="preserve">Journal version of AMLAS: a methodology integrating safety assurance into ML component development with evidence-based safety arguments.</t>
  </si>
  <si>
    <t xml:space="preserve">HIGH - links ML assurance to explicitly defined operating environments; supports placing Phase A output inside a safety case.</t>
  </si>
  <si>
    <t xml:space="preserve">C30</t>
  </si>
  <si>
    <t xml:space="preserve">R. Hawkins, C. Paterson, C. Picardi, Y. Jia, R. Calinescu, and I. Habli, "Guidance on the assurance of machine learning in autonomous systems (AMLAS)," arXiv:2102.01564, 2021.</t>
  </si>
  <si>
    <t xml:space="preserve">Six-stage process (scoping, requirements assurance, data management, model learning, verification, deployment) with safety-case argument patterns; requires the operating environment to be 'explicitly defined'.</t>
  </si>
  <si>
    <t xml:space="preserve">MEDIUM - cite together with C29 (journal version); keep one if space is tight.</t>
  </si>
  <si>
    <t xml:space="preserve">C31</t>
  </si>
  <si>
    <t xml:space="preserve">C. Amersbach and H. Winner, "Defining required and feasible test coverage for scenario-based validation of highly automated vehicles," in Proc. 22nd IEEE Intelligent Transportation Systems Conf. (ITSC), Auckland, New Zealand, 2019.</t>
  </si>
  <si>
    <t xml:space="preserve">Estimates the number of scenarios equivalent to the required test distance and finds 'a gap of around one order of magnitude' between necessary and feasible test coverage.</t>
  </si>
  <si>
    <t xml:space="preserve">HIGH - quantitative motivation for optimised scenario selection (Phase B). Add pages/DOI from IEEE Xplore (document 8917534).</t>
  </si>
  <si>
    <t xml:space="preserve">C32</t>
  </si>
  <si>
    <t xml:space="preserve">Y. Li, J. Tao, and F. Wotawa, "Ontology-based test generation for automated and autonomous driving functions," Inf. Softw. Technol., vol. 117, Art. no. 106200, 2020, doi: 10.1016/j.infsof.2019.106200.</t>
  </si>
  <si>
    <t xml:space="preserve">Converts environment ontologies into combinatorial test cases for automated driving functions; two conversion algorithms and a case study.</t>
  </si>
  <si>
    <t xml:space="preserve">HIGH - structured domain model to combinatorial scenarios; a classical baseline family for Phase B.</t>
  </si>
  <si>
    <t xml:space="preserve">C33</t>
  </si>
  <si>
    <t xml:space="preserve">MQ3, MQ4</t>
  </si>
  <si>
    <t xml:space="preserve">F. Klück, Y. Li, J. Tao, and F. Wotawa, "An empirical comparison of combinatorial testing and search-based testing in the context of automated and autonomous driving systems," Inf. Softw. Technol., vol. 160, Art. no. 107225, 2023, doi: 10.1016/j.infsof.2023.107225.</t>
  </si>
  <si>
    <t xml:space="preserve">On two emergency-braking implementations, strength-3 combinatorial testing gave the highest coverage and found all failure types; search-based testing found crashes faster; random testing had no clear advantage; the approaches are 'complementary'.</t>
  </si>
  <si>
    <t xml:space="preserve">CRITICAL - defines the classical baselines Phase B must beat or match (combinatorial, search-based, random) in the same domain.</t>
  </si>
  <si>
    <t xml:space="preserve">C34</t>
  </si>
  <si>
    <t xml:space="preserve">D. Giannakopoulou, T. Pressburger, A. Mavridou, and J. Schumann, "Automated formalization of structured natural language requirements," Inf. Softw. Technol., vol. 137, Art. no. 106590, 2021, doi: 10.1016/j.infsof.2021.106590.</t>
  </si>
  <si>
    <t xml:space="preserve">FRETish structured natural language with four fields (scope, condition, timing, response) compiled to future- and past-time metric temporal logic; open-source FRET tool; applied to Lockheed Martin CPS requirements.</t>
  </si>
  <si>
    <t xml:space="preserve">CRITICAL - the scope/condition/timing/response fields are a ready-made, citable basis for the Phase A annotation schema (the ODD boundary sits in 'condition').</t>
  </si>
  <si>
    <t xml:space="preserve">C35</t>
  </si>
  <si>
    <t xml:space="preserve">D. Giannakopoulou, T. Pressburger, A. Mavridou, J. Rhein, J. Schumann, and N. Shi, "Formal requirements elicitation with FRET," in Joint Proc. REFSQ-2020 Workshops, Doctoral Symposium, Live Studies Track, and Poster Track, CEUR-WS vol. 2584, Pisa, Italy, 2020.</t>
  </si>
  <si>
    <t xml:space="preserve">Tool paper: FRET formalises FRETish into temporal logic and explains meaning in natural language and diagrams; connects to CoCoSim.</t>
  </si>
  <si>
    <t xml:space="preserve">MEDIUM - tool reference; cite with C34.</t>
  </si>
  <si>
    <t xml:space="preserve">C36</t>
  </si>
  <si>
    <t xml:space="preserve">MQ2 (data)</t>
  </si>
  <si>
    <t xml:space="preserve">A. Ferrari, G. O. Spagnolo, and S. Gnesi, "PURE: A dataset of public requirements documents," in Proc. IEEE 25th Int. Requirements Eng. Conf. (RE), 2017, pp. 502-505. Dataset: doi: 10.5281/zenodo.1414117.</t>
  </si>
  <si>
    <t xml:space="preserve">79 publicly available natural-language requirements documents, CC-BY-4.0 licence.</t>
  </si>
  <si>
    <t xml:space="preserve">HIGH for Phase 2 - public, licensed requirements text; useful for non-ODD/negative examples and for testing generalisation.</t>
  </si>
  <si>
    <t xml:space="preserve">C37</t>
  </si>
  <si>
    <t xml:space="preserve">MQ1 (corpus source)</t>
  </si>
  <si>
    <t xml:space="preserve">Commission Implementing Regulation (EU) 2022/1426 of 5 August 2022 laying down rules for the application of Regulation (EU) 2019/2144 as regards uniform procedures and technical specifications for the type-approval of the automated driving system (ADS) of fully automated vehicles, Off. J. Eur. Union, 2022.</t>
  </si>
  <si>
    <t xml:space="preserve">Contains ODD 'shall' requirements (ADS shall recognise its ODD conditions and boundaries; detect and respond when ODD conditions are not fulfilled; perform an MRM at ODD boundaries) and an enumerated list of ODD conditions (precipitation, time of day, light intensity, fog/mist, road and lane markings, road category, geographical area). Consolidated version dated 2026-03-24 exists.</t>
  </si>
  <si>
    <t xml:space="preserve">CRITICAL for Phase 2 - real, public regulatory requirements about ODD boundaries. Quotes here are from a summarised read; copy exact wording from EUR-Lex yourself. Check the full official title wording on EUR-Lex.</t>
  </si>
  <si>
    <t xml:space="preserve">C38</t>
  </si>
  <si>
    <t xml:space="preserve">UN Regulation No. 157 - Uniform provisions concerning the approval of vehicles with regard to Automated Lane Keeping Systems (ALKS), Revision 1, UNECE, 2025.</t>
  </si>
  <si>
    <t xml:space="preserve">ALKS regulation; EU 2022/1426 Annex III applies its scenarios and parameters. Text could not be opened (unece.org blocked this connection).</t>
  </si>
  <si>
    <t xml:space="preserve">CRITICAL for Phase 2 - download from unece.org and confirm exact title and revision.</t>
  </si>
  <si>
    <t xml:space="preserve">#</t>
  </si>
  <si>
    <t xml:space="preserve">Key</t>
  </si>
  <si>
    <t xml:space="preserve">Topic area</t>
  </si>
  <si>
    <t xml:space="preserve">Notes and action</t>
  </si>
  <si>
    <t xml:space="preserve">Your check (Y/N)</t>
  </si>
  <si>
    <t xml:space="preserve">D1</t>
  </si>
  <si>
    <t xml:space="preserve">Incidents and regulatory record</t>
  </si>
  <si>
    <t xml:space="preserve">National Transportation Safety Board, "NTSB finds automation overreliance contributed to two fatal Ford BlueCruise crashes," Press Release NR20260331, Mar. 31, 2026. [Online]. Available: https://www.ntsb.gov/news/press-releases/Pages/NR20260331.aspx</t>
  </si>
  <si>
    <t xml:space="preserve">Does not mention alcohol impairment: remove that claim from Ch.1 or source it separately.</t>
  </si>
  <si>
    <t xml:space="preserve">D2</t>
  </si>
  <si>
    <t xml:space="preserve">National Highway Traffic Safety Administration, Office of Defects Investigation, "ODI resume: Engineering analysis EA26002," Mar. 18, 2026. [Online]. Available: https://static.nhtsa.gov/odi/inv/2026/INOA-EA26002-10023.pdf</t>
  </si>
  <si>
    <t xml:space="preserve">Conditions named: glare and airborne obscurants.</t>
  </si>
  <si>
    <t xml:space="preserve">D3</t>
  </si>
  <si>
    <t xml:space="preserve">J. Stempel and A. Roy, "Tesla ordered by Florida jury to pay $243 million in fatal Autopilot crash," Reuters, Aug. 1, 2025.</t>
  </si>
  <si>
    <t xml:space="preserve">Article confirmed through syndicated copies (US News, Yahoo Finance) with matching title and date. Add Reuters URL.</t>
  </si>
  <si>
    <t xml:space="preserve">D4</t>
  </si>
  <si>
    <t xml:space="preserve">National Highway Traffic Safety Administration, "Consent order: Cruise crash reporting," Press release, Sep. 30, 2024. [Online]. Available: https://www.nhtsa.gov/press-releases/consent-order-cruise-crash-reporting</t>
  </si>
  <si>
    <t xml:space="preserve">NHTSA press release located; $1.5M penalty for incomplete crash reports confirmed by multiple outlets.</t>
  </si>
  <si>
    <t xml:space="preserve">D5</t>
  </si>
  <si>
    <t xml:space="preserve">Toyota Motor North America, "Toyota recalls certain Toyota and Lexus vehicles," Toyota USA Newsroom, Oct. 2025. [Online]. Available: https://pressroom.toyota.com/toyota-recalls-certain-toyota-and-lexus-vehicles-6/</t>
  </si>
  <si>
    <t xml:space="preserve">Backup-camera recall (~1.02M US vehicles) confirmed by news reports. Not an ODD failure: recommend removal from Ch.1 incident table.</t>
  </si>
  <si>
    <t xml:space="preserve">D6</t>
  </si>
  <si>
    <t xml:space="preserve">Toyota Motor North America, "Toyota recalls certain model year 2025-2026 Lexus LX 600 vehicles," Toyota USA Newsroom, Feb. 18, 2026. [Online]. Available: https://pressroom.toyota.com/toyota-recalls-certain-model-year-2025-2026-lexus-lx-600-vehicles/</t>
  </si>
  <si>
    <t xml:space="preserve">URL from synopsis; not opened. Transmission recall is not ODD-related: recommend removal.</t>
  </si>
  <si>
    <t xml:space="preserve">D7</t>
  </si>
  <si>
    <t xml:space="preserve">National Transportation Safety Board, "Investigation HWY26FH008: Automated vehicle strikes pedestrian in school zone, Santa Monica, California," Jan. 23, 2026. [Online]. Available: https://www.ntsb.gov/investigations/Pages/HWY26FH008.aspx</t>
  </si>
  <si>
    <t xml:space="preserve">Title wording is descriptive; use the exact page title when you open it. 'Under 6 mph' needs its own source.</t>
  </si>
  <si>
    <t xml:space="preserve">S5</t>
  </si>
  <si>
    <t xml:space="preserve">Waymo LLC, "Part 573 safety recall report 25E-084," National Highway Traffic Safety Administration, Dec. 2025. [Online]. Available: https://static.nhtsa.gov/odi/rcl/2025/RCLRPT-25E084-7732.pdf</t>
  </si>
  <si>
    <t xml:space="preserve">REPLACED wrong source (Southern California Law Review link) with the NHTSA recall report for the school-bus recall.</t>
  </si>
  <si>
    <t xml:space="preserve">D26</t>
  </si>
  <si>
    <t xml:space="preserve">Standards</t>
  </si>
  <si>
    <t xml:space="preserve">Assurance Case Working Group, "Goal Structuring Notation community standard, version 3," Safety-Critical Systems Club, SCSC-141C, 2021.</t>
  </si>
  <si>
    <t xml:space="preserve">Version 3 (2021) listed; confirm document code SCSC-141C on scsc.uk before final.</t>
  </si>
  <si>
    <t xml:space="preserve">D40</t>
  </si>
  <si>
    <t xml:space="preserve">Road Vehicles - Functional Safety, ISO 26262:2018, International Organization for Standardization, Geneva, Switzerland, 2018.</t>
  </si>
  <si>
    <t xml:space="preserve">ISO catalogue page (68383 is Part 1) confirmed; cite the specific parts you use (e.g., ISO 26262-6:2018).</t>
  </si>
  <si>
    <t xml:space="preserve">D41</t>
  </si>
  <si>
    <t xml:space="preserve">Road Vehicles - Safety of the Intended Functionality, ISO 21448:2022, International Organization for Standardization, Geneva, Switzerland, 2022.</t>
  </si>
  <si>
    <t xml:space="preserve">ISO catalogue 77490 confirmed.</t>
  </si>
  <si>
    <t xml:space="preserve">D44</t>
  </si>
  <si>
    <t xml:space="preserve">Taxonomy and Definitions for Terms Related to Driving Automation Systems for On-Road Motor Vehicles, SAE J3016_202104, SAE International, 2021.</t>
  </si>
  <si>
    <t xml:space="preserve">SAE listing confirmed.</t>
  </si>
  <si>
    <t xml:space="preserve">D54</t>
  </si>
  <si>
    <t xml:space="preserve">Systems and Software Engineering - Life Cycle Processes - Requirements Engineering, ISO/IEC/IEEE 29148:2018, 2018.</t>
  </si>
  <si>
    <t xml:space="preserve">ISO catalogue 72089 confirmed.</t>
  </si>
  <si>
    <t xml:space="preserve">D56</t>
  </si>
  <si>
    <t xml:space="preserve">Standard for Safety for the Evaluation of Autonomous Products, UL 4600, Ed. 3, UL Standards &amp; Engagement, Mar. 17, 2023.</t>
  </si>
  <si>
    <t xml:space="preserve">Edition 3 (17 Mar 2023) confirmed via ANSI/UL store listings.</t>
  </si>
  <si>
    <t xml:space="preserve">D57</t>
  </si>
  <si>
    <t xml:space="preserve">Road Vehicles - Safety and Artificial Intelligence, ISO/PAS 8800:2024, International Organization for Standardization, Geneva, Switzerland, 2024.</t>
  </si>
  <si>
    <t xml:space="preserve">ISO catalogue 83303 confirmed.</t>
  </si>
  <si>
    <t xml:space="preserve">D66</t>
  </si>
  <si>
    <t xml:space="preserve">Operational Design Domain (ODD) Taxonomy for an Automated Driving System (ADS) - Specification, BSI PAS 1883:2020, British Standards Institution, London, U.K., 2020.</t>
  </si>
  <si>
    <t xml:space="preserve">SPLIT: arXiv 2408.14481 stays as its own entry (D10). BSI also lists a 2025 edition: cite the one you actually use.</t>
  </si>
  <si>
    <t xml:space="preserve">S14</t>
  </si>
  <si>
    <t xml:space="preserve">AUTOSAR, "AUTOSAR Adaptive Platform, Release R23-11," 2023. [Online]. Available: https://www.autosar.org/fileadmin/standards/R23-11/AP/AUTOSAR_AP_TR_ReleaseOverview.pdf</t>
  </si>
  <si>
    <t xml:space="preserve">R23-11 Adaptive Platform documents located on autosar.org.</t>
  </si>
  <si>
    <t xml:space="preserve">D8</t>
  </si>
  <si>
    <t xml:space="preserve">Formal methods and verification</t>
  </si>
  <si>
    <t xml:space="preserve">S. Mitra et al., "Formal verification techniques for vision-based autonomous systems - A survey," in Springer book chapter, 2024, doi: 10.1007/978-3-031-75778-5_5.</t>
  </si>
  <si>
    <t xml:space="preserve">Add full author list and book title on import.</t>
  </si>
  <si>
    <t xml:space="preserve">D10</t>
  </si>
  <si>
    <t xml:space="preserve">"Formalization of operational domain and operational design domain for automated vehicles," arXiv:2408.14481, 2024.</t>
  </si>
  <si>
    <t xml:space="preserve">Confirmed: does not aim to create machine-readable spec; defers to ASAM OpenODD (now released as v1.0.0, Apr 2025). A peer-reviewed IEEE conference version exists (IEEE Xplore document 10727076): cite that version; add authors/venue from Xplore.</t>
  </si>
  <si>
    <t xml:space="preserve">D21</t>
  </si>
  <si>
    <t xml:space="preserve">E. M. Clarke, "The birth of model checking," in 25 Years of Model Checking, Lecture Notes in Computer Science, vol. 5000. Berlin, Germany: Springer, 2008, doi: 10.1007/978-3-540-69850-0_1.</t>
  </si>
  <si>
    <t xml:space="preserve">Confirm page range on import. Only details confirmed from a source are shown; add the rest from the publisher record on import.</t>
  </si>
  <si>
    <t xml:space="preserve">D51</t>
  </si>
  <si>
    <t xml:space="preserve">E. Bartocci, J. Deshmukh, A. Donzé, G. Fainekos, O. Maler, D. Ničković, and S. Sankaranarayanan, "Specification-based monitoring of cyber-physical systems: A survey on theory, tools and applications," in Lectures on Runtime Verification, Lecture Notes in Computer Science, vol. 10457. Cham, Switzerland: Springer, 2018, doi: 10.1007/978-3-319-75632-5_5.</t>
  </si>
  <si>
    <t xml:space="preserve">Springer chapter DOI located; add page range on import.</t>
  </si>
  <si>
    <t xml:space="preserve">D67</t>
  </si>
  <si>
    <t xml:space="preserve">S. Shalev-Shwartz, S. Shammah, and A. Shashua, "On a formal model of safe and scalable self-driving cars," arXiv:1708.06374, 2017.</t>
  </si>
  <si>
    <t xml:space="preserve">Matches.</t>
  </si>
  <si>
    <t xml:space="preserve">S8</t>
  </si>
  <si>
    <t xml:space="preserve">D. Beyer and J. Strejček, "Improvements in software verification and witness validation: SV-COMP 2025," in Tools and Algorithms for the Construction and Analysis of Systems (TACAS 2025), Lecture Notes in Computer Science. Cham, Switzerland: Springer, 2025, pp. 151-186, doi: 10.1007/978-3-031-90660-2_9.</t>
  </si>
  <si>
    <t xml:space="preserve">Contains no LOC-timeout study: do not cite for that.</t>
  </si>
  <si>
    <t xml:space="preserve">S19</t>
  </si>
  <si>
    <t xml:space="preserve">J.-M. Bruel, S. Ebersold, F. Galinier, M. Mazzara, A. Naumchev, and B. Meyer, "The role of formalism in system requirements," ACM Comput. Surv., vol. 54, no. 5, pp. 1-36, 2021, doi: 10.1145/3448975.</t>
  </si>
  <si>
    <t xml:space="preserve">S23</t>
  </si>
  <si>
    <t xml:space="preserve">R. Hähnle and M. Huisman, "Deductive software verification: From pen-and-paper proofs to industrial tools," in Computing and Software Science, Lecture Notes in Computer Science, vol. 10000. Cham, Switzerland: Springer, 2019, pp. 345-373, doi: 10.1007/978-3-319-91908-9_18.</t>
  </si>
  <si>
    <t xml:space="preserve">Broken DOI repaired and confirmed.</t>
  </si>
  <si>
    <t xml:space="preserve">S24</t>
  </si>
  <si>
    <t xml:space="preserve">M. Kodetzki, T. Bordis, T. Runge, and I. Schaefer, "Partial proofs to optimize deductive verification of feature-oriented software product lines," in Proc. 18th Int. Working Conf. Variability Modelling of Software-Intensive Systems (VaMoS), 2024, pp. 17-26, doi: 10.1145/3634713.3634714.</t>
  </si>
  <si>
    <t xml:space="preserve">S25</t>
  </si>
  <si>
    <t xml:space="preserve">L. Brugger, X. Denis, and P. Müller, "Toward practical deductive verification: Insights from a qualitative survey in industry and academia," arXiv:2510.20514, 2025.</t>
  </si>
  <si>
    <t xml:space="preserve">Abstract reports interviews with 30 practitioners. Synopsis Table 1 claims (24 practitioners + 12 researchers, 83%, 71%) are NOT supported by the abstract: delete unless found in full text. Title/authors from synopsis; arXiv page did not display them to me: confirm on import.</t>
  </si>
  <si>
    <t xml:space="preserve">S27</t>
  </si>
  <si>
    <t xml:space="preserve">L. Armborst, D. Beyer, M. Huisman, and M. Lingsch-Rosenfeld, "AutoSV-Annotator: Integrating deductive and automatic software verification," in Formal Methods for Industrial Critical Systems (FMICS 2025), Lecture Notes in Computer Science, vol. 16040. Cham, Switzerland: Springer, 2025, pp. 59-77, doi: 10.1007/978-3-032-00942-5_4.</t>
  </si>
  <si>
    <t xml:space="preserve">Year 2025 per record (synopsis said 2026).</t>
  </si>
  <si>
    <t xml:space="preserve">S28</t>
  </si>
  <si>
    <t xml:space="preserve">B. Beckert, T. Bormer, F. Merz, and C. Sinz, "Integration of bounded model checking and deductive verification," in Formal Verification of Object-Oriented Software (FoVeOOS 2011), Lecture Notes in Computer Science, vol. 7421. Berlin, Germany: Springer, 2012, pp. 86-104, doi: 10.1007/978-3-642-31762-0_7.</t>
  </si>
  <si>
    <t xml:space="preserve">S34</t>
  </si>
  <si>
    <t xml:space="preserve">I. Dragomir, I. Ober, and C. Percebois, "Contract-based modeling and verification of timed safety requirements within SysML," Softw. Syst. Model., vol. 16, no. 2, pp. 587-624, 2015, doi: 10.1007/s10270-015-0481-1.</t>
  </si>
  <si>
    <t xml:space="preserve">Broken DOI repaired and confirmed. Online 2015; issue vol. 16(2) is 2017. Year shown is the year in the publisher record (online); the printed issue may carry a later year.</t>
  </si>
  <si>
    <t xml:space="preserve">S63</t>
  </si>
  <si>
    <t xml:space="preserve">C. Menghi, C. Tsigkanos, P. Pelliccione, C. Ghezzi, and T. Berger, "Specification patterns for robotic missions," IEEE Trans. Softw. Eng., vol. 47, no. 10, pp. 2208-2224, 2021.</t>
  </si>
  <si>
    <t xml:space="preserve">Journal confirmed (TSE 47(10), dblp record MenghiTPGB21). Page end differs between sources (2224 vs synopsis 2227) and the journal DOI is not yet confirmed: import from IEEE Xplore. Synopsis Table 1 figures (97%, 71%) need checking.</t>
  </si>
  <si>
    <t xml:space="preserve">S64</t>
  </si>
  <si>
    <t xml:space="preserve">M. Luckcuck, M. Farrell, L. A. Dennis, C. Dixon, and M. Fisher, "Formal specification and verification of autonomous robotic systems: A survey," ACM Comput. Surv., vol. 52, no. 5, pp. 1-41, 2019, doi: 10.1145/3342355.</t>
  </si>
  <si>
    <t xml:space="preserve">D11</t>
  </si>
  <si>
    <t xml:space="preserve">ODD, scenarios, simulation and AV testing</t>
  </si>
  <si>
    <t xml:space="preserve">H. Xu, Y. Bian, Y. Li, H. Qin, H. Zhou, F. Chang, S. Wang, and Q. Ye, "Learnable operational design condition monitor for failure prediction in autonomous driving," Accid. Anal. Prev., 2025.</t>
  </si>
  <si>
    <t xml:space="preserve">Add volume and DOI on import (PubMed 40580580).</t>
  </si>
  <si>
    <t xml:space="preserve">D12</t>
  </si>
  <si>
    <t xml:space="preserve">"Addressing SOTIF with a runtime monitor ensemble for AI-based perception systems," Discover Artif. Intell., 2026, doi: 10.1007/s44163-026-02186-z.</t>
  </si>
  <si>
    <t xml:space="preserve">Add authors on import.</t>
  </si>
  <si>
    <t xml:space="preserve">D31</t>
  </si>
  <si>
    <t xml:space="preserve">B. Schütt, J. Ransiek, T. Braun, and E. Sax, "1001 ways of scenario generation for testing of self-driving cars: A survey," arXiv:2304.10850, 2023.</t>
  </si>
  <si>
    <t xml:space="preserve">Authors recorded. Check whether a peer-reviewed version exists (e.g., IEEE IV 2023) before final submission.</t>
  </si>
  <si>
    <t xml:space="preserve">D32</t>
  </si>
  <si>
    <t xml:space="preserve">W. Ding, C. Xu, M. Arief, H. Lin, B. Li, and D. Zhao, "A survey on safety-critical driving scenario generation: A methodological perspective," IEEE Trans. Intell. Transp. Syst., 2023. arXiv:2202.02215.</t>
  </si>
  <si>
    <t xml:space="preserve">Published in IEEE T-ITS 2023 per arXiv journal-ref; add volume/pages/DOI from IEEE Xplore on import.</t>
  </si>
  <si>
    <t xml:space="preserve">D33</t>
  </si>
  <si>
    <t xml:space="preserve">"A survey of scenario generation for automated vehicle testing and validation," Future Internet, vol. 16, no. 12, Art. no. 480, 2024.</t>
  </si>
  <si>
    <t xml:space="preserve">Add authors and DOI on import.</t>
  </si>
  <si>
    <t xml:space="preserve">D48</t>
  </si>
  <si>
    <t xml:space="preserve">J. Kim and A. Kaur, "A survey on adversarial robustness of LiDAR-based machine learning perception in autonomous vehicles," arXiv:2411.13778, 2024.</t>
  </si>
  <si>
    <t xml:space="preserve">Authors recorded.</t>
  </si>
  <si>
    <t xml:space="preserve">D49</t>
  </si>
  <si>
    <t xml:space="preserve">"Certified robustness in automated driving perception: A review," Automot. Innov., 2024, doi: 10.1007/s42154-024-00347-3.</t>
  </si>
  <si>
    <t xml:space="preserve">Add authors (TU Graz) on import.</t>
  </si>
  <si>
    <t xml:space="preserve">D50</t>
  </si>
  <si>
    <t xml:space="preserve">"Autonomous driving test method based on digital twin: A survey," in Proc. IEEE Int. Conf., 2021 (IEEE Xplore 9628341).</t>
  </si>
  <si>
    <t xml:space="preserve">Add authors and conference name.</t>
  </si>
  <si>
    <t xml:space="preserve">D58</t>
  </si>
  <si>
    <t xml:space="preserve">A. Corso, R. Moss, M. Koren, R. Lee, and M. Kochenderfer, "A survey of algorithms for black-box safety validation of cyber-physical systems," J. Artif. Intell. Res., vol. 72, 2021, doi: 10.1613/jair.1.12716.</t>
  </si>
  <si>
    <t xml:space="preserve">Confirm pages on import. Only details confirmed from a source are shown; add the rest from the publisher record on import.</t>
  </si>
  <si>
    <t xml:space="preserve">D64</t>
  </si>
  <si>
    <t xml:space="preserve">A. Sinha, S. Chand, V. Vu, H. Chen, and V. Dixit, "Crash and disengagement data of autonomous vehicles on public roads in California," Sci. Data, vol. 8, 2021, doi: 10.1038/s41597-021-01083-7.</t>
  </si>
  <si>
    <t xml:space="preserve">Confirm article number on import. Only details confirmed from a source are shown; add the rest from the publisher record on import.</t>
  </si>
  <si>
    <t xml:space="preserve">S6</t>
  </si>
  <si>
    <t xml:space="preserve">A. Forrai, M. Alirezaei, T. Singh, A. Gali, and J. Ploeg, "Virtual verification and validation of autonomous vehicles: Toolchain and workflow," in Modeling and Control of Autonomous Systems. London, U.K.: IntechOpen, 2025, doi: 10.5772/intechopen.1008921.</t>
  </si>
  <si>
    <t xml:space="preserve">S9</t>
  </si>
  <si>
    <t xml:space="preserve">B. Cabrero-Daniel and M. Mohamad, "Challenges of virtual validation and verification for automotive functions," in Proc. Euromicro Conf. Software Engineering and Advanced Applications (SEAA), Lecture Notes in Computer Science. Cham, Switzerland: Springer, 2025, doi: 10.1007/978-3-032-04190-6_12.</t>
  </si>
  <si>
    <t xml:space="preserve">Paper is real (arXiv 2508.14747). MAJOR: synopsis Table 7 claims (~100% virtual pass rate, 5 OEMs, 0/5 OEMs with formal ODD, 10-18% ODD coverage) are NOT in the paper. Actual design: workshop (7 participants) + survey (10 respondents, 9 partner organisations incl. 4 automotive companies). Page range and LNCS volume to add (Springer page rate-limited).</t>
  </si>
  <si>
    <t xml:space="preserve">S29</t>
  </si>
  <si>
    <t xml:space="preserve">C. Birchler, S. Khatiri, P. Rani, T. Kehrer, and S. Panichella, "A roadmap for simulation-based testing of autonomous cyber-physical systems: Challenges and future direction," ACM Trans. Softw. Eng. Methodol., vol. 34, no. 5, Art. no. 152, 2025, doi: 10.1145/3711906.</t>
  </si>
  <si>
    <t xml:space="preserve">S30</t>
  </si>
  <si>
    <t xml:space="preserve">C. Birchler, T. K. Mohammed, P. Rani, T. Nechita, T. Kehrer, and S. Panichella, "How does simulation-based testing for self-driving cars match human perception?," Proc. ACM Softw. Eng., vol. 1, no. FSE, pp. 929-950, 2024, doi: 10.1145/3643768.</t>
  </si>
  <si>
    <t xml:space="preserve">S31</t>
  </si>
  <si>
    <t xml:space="preserve">V. Crespo-Rodriguez, C. Birchler, Neelofar, A. Aleti, and S. Panichella, "The role of road features and vehicle dynamics in cost-effective autonomous vehicles safety testing: Insights from instance space analysis," Inf. Softw. Technol., vol. 195, Art. no. 108123, 2026, doi: 10.1016/j.infsof.2026.108123.</t>
  </si>
  <si>
    <t xml:space="preserve">CORRECTED: synopsis omitted co-author Neelofar and the subtitle.</t>
  </si>
  <si>
    <t xml:space="preserve">S33</t>
  </si>
  <si>
    <t xml:space="preserve">E. Aljalbout, J. Xing, A. Romero, I. Akinola, C. R. Garrett, E. Heiden, A. Gupta, T. Hermans, Y. Narang, D. Fox, D. Scaramuzza, and F. Ramos, "The reality gap in robotics: Challenges, solutions, and best practices," Annu. Rev. Control Robot. Auton. Syst., 2026 (accepted). arXiv:2510.20808.</t>
  </si>
  <si>
    <t xml:space="preserve">Full author list recorded; accepted in Annual Review of Control, Robotics, and Autonomous Systems.</t>
  </si>
  <si>
    <t xml:space="preserve">S35</t>
  </si>
  <si>
    <t xml:space="preserve">E. Rosenlund, J. Cederbladh, P. E. Strandberg, and D. Krems, "The role of standardization for simulation in model-based systems engineering: A survey study supplemented with industrial experiences," Softw. Syst. Model., 2025, doi: 10.1007/s10270-025-01344-8.</t>
  </si>
  <si>
    <t xml:space="preserve">Fourth author D. Krems confirmed (synopsis used 'et al.').</t>
  </si>
  <si>
    <t xml:space="preserve">S36</t>
  </si>
  <si>
    <t xml:space="preserve">G. Pappalardo, R. Caponetto, R. Varrica, and S. D. Cafiso, "Assessing the operational design domain of lane support system for automated vehicles in different weather and road conditions," J. Traffic Transp. Eng. (Engl. Ed.), vol. 9, no. 4, pp. 631-644, 2022, doi: 10.1016/j.jtte.2021.12.002.</t>
  </si>
  <si>
    <t xml:space="preserve">Matches. Synopsis Table 1 figures (91%, 67%, 54%) still need checking against the paper.</t>
  </si>
  <si>
    <t xml:space="preserve">D13</t>
  </si>
  <si>
    <t xml:space="preserve">Requirements engineering and NLP</t>
  </si>
  <si>
    <t xml:space="preserve">A. Nouri, B. Cabrero-Daniel et al., "Engineering safety requirements for autonomous driving with large language models," in Proc. IEEE Int. Requirements Eng. Conf. (RE), 2024. arXiv:2403.16289.</t>
  </si>
  <si>
    <t xml:space="preserve">Add full author list and DOI (IEEE Xplore 10628478) on import. Only details confirmed from a source are shown; add the rest from the publisher record on import.</t>
  </si>
  <si>
    <t xml:space="preserve">D14</t>
  </si>
  <si>
    <t xml:space="preserve">A. Beg, D. O'Donoghue, and R. Monahan, "A short survey on formalising software requirements using large language models," arXiv:2506.11874, 2025.</t>
  </si>
  <si>
    <t xml:space="preserve">Authors taken from synopsis; confirm on import. Req2Spec 71%/222 and 94.4% confirmed.</t>
  </si>
  <si>
    <t xml:space="preserve">D22</t>
  </si>
  <si>
    <t xml:space="preserve">Shah and Jinwala, "Resolving ambiguities in natural language software requirements: A comprehensive survey," ACM SIGSOFT Softw. Eng. Notes, vol. 40, no. 5, 2015, doi: 10.1145/2815021.2815032.</t>
  </si>
  <si>
    <t xml:space="preserve">CORRECTED authors (draft said Ferrari &amp; Esuli). Confirm initials and pages on import. Only details confirmed from a source are shown; add the rest from the publisher record on import.</t>
  </si>
  <si>
    <t xml:space="preserve">D23</t>
  </si>
  <si>
    <t xml:space="preserve">F. de Bruijn and H. L. Dekkers, "Ambiguity in natural language software requirements: A case study," in Requirements Engineering: Foundation for Software Quality (REFSQ 2010), Lecture Notes in Computer Science. Berlin, Germany: Springer, 2010, doi: 10.1007/978-3-642-14192-8_21.</t>
  </si>
  <si>
    <t xml:space="preserve">Confirm volume and pages on import. Only details confirmed from a source are shown; add the rest from the publisher record on import.</t>
  </si>
  <si>
    <t xml:space="preserve">D24</t>
  </si>
  <si>
    <t xml:space="preserve">Talha et al., "A semiautomated approach for detecting ambiguities in software requirements using SpanBERT and named entity recognition," J. Softw. Evol. Process, 2025, doi: 10.1002/smr.70041.</t>
  </si>
  <si>
    <t xml:space="preserve">Add full author list on import.</t>
  </si>
  <si>
    <t xml:space="preserve">D25</t>
  </si>
  <si>
    <t xml:space="preserve">"Requirements ambiguity detection and explanation with LLMs: An industrial study," in Proc. IEEE Int. Conf. Software Maintenance and Evolution (ICSME), Industry Track, 2025.</t>
  </si>
  <si>
    <t xml:space="preserve">Add authors and DOI (IEEE Xplore 11185947).</t>
  </si>
  <si>
    <t xml:space="preserve">D60</t>
  </si>
  <si>
    <t xml:space="preserve">L. Del Corro and R. Gemulla, "ClausIE: Clause-based open information extraction," in Proc. 22nd Int. Conf. World Wide Web (WWW), 2013, doi: 10.1145/2488388.2488420.</t>
  </si>
  <si>
    <t xml:space="preserve">D61</t>
  </si>
  <si>
    <t xml:space="preserve">I. Beltagy, K. Lo, and A. Cohan, "SciBERT: A pretrained language model for scientific text," in Proc. EMNLP-IJCNLP, 2019, ACL Anthology D19-1371.</t>
  </si>
  <si>
    <t xml:space="preserve">D62</t>
  </si>
  <si>
    <t xml:space="preserve">N. Reimers and I. Gurevych, "Sentence-BERT: Sentence embeddings using Siamese BERT-networks," in Proc. Conf. Empirical Methods Natural Lang. Process. and 9th Int. Joint Conf. Natural Lang. Process. (EMNLP-IJCNLP), 2019, pp. 3982-3992, doi: 10.18653/v1/D19-1410.</t>
  </si>
  <si>
    <t xml:space="preserve">Pages confirmed via Google Scholar lookup string.</t>
  </si>
  <si>
    <t xml:space="preserve">S15</t>
  </si>
  <si>
    <t xml:space="preserve">H. Hu, L. Zhang, and C. Ye, "Semantic-based requirements analysis and verification," in Proc. Int. Conf. Electronics and Information Engineering (ICEIE), 2010, pp. V1-241-V1-246, doi: 10.1109/ICEIE.2010.5559882.</t>
  </si>
  <si>
    <t xml:space="preserve">S16</t>
  </si>
  <si>
    <t xml:space="preserve">S. Lim, A. Henriksson, and J. Zdravkovic, "Data-driven requirements elicitation: A systematic literature review," SN Comput. Sci., vol. 2, no. 1, Art. no. 16, 2021, doi: 10.1007/s42979-020-00416-4.</t>
  </si>
  <si>
    <t xml:space="preserve">S17</t>
  </si>
  <si>
    <t xml:space="preserve">K. Mokos, T. Nestoridis, P. Katsaros, and N. Bassiliades, "Semantic modeling and analysis of natural language system requirements," IEEE Access, vol. 10, pp. 84094-84119, 2022.</t>
  </si>
  <si>
    <t xml:space="preserve">IEEE Xplore document 9852230 located; add DOI from Xplore on import. Synopsis Table 1 figures (89.3%, 84.7%, 74%, 61%) still to check.</t>
  </si>
  <si>
    <t xml:space="preserve">S18</t>
  </si>
  <si>
    <t xml:space="preserve">H. S. Dar, S. Imtiaz, and M. I. U. Lali, "Reducing requirements ambiguity via gamification: Comparison with traditional techniques," Comput. Intell. Neurosci., vol. 2022, Art. no. 3183411, 2022, doi: 10.1155/2022/3183411.</t>
  </si>
  <si>
    <t xml:space="preserve">S20</t>
  </si>
  <si>
    <t xml:space="preserve">A. Tagliaferro, B. Guindani, L. Lestingi, and M. Rossi, "Towards an agentic LLM-based approach to requirement formalization from unstructured specifications," arXiv:2604.18228, 2026.</t>
  </si>
  <si>
    <t xml:space="preserve">Paper is real (Politecnico di Milano). BUT synopsis Table 1 claims (200 specifications, 76% correct, 8.3% hallucination) are NOT in the paper. Actual: 71 requirements across 3 CPS scenarios; 43.6% exact + 38.2% partial match (81.8% combined); 88.7% verifiability accuracy; 77.8% effective semantic translation. Author is 'M. Rossi' (not 'M. G. Rossi').</t>
  </si>
  <si>
    <t xml:space="preserve">S21</t>
  </si>
  <si>
    <t xml:space="preserve">M. Alenazi, "The role of environmental assumptions in shaping requirements technical debt," Appl. Sci., vol. 15, no. 14, Art. no. 8028, 2025, doi: 10.3390/app15148028.</t>
  </si>
  <si>
    <t xml:space="preserve">Paper real. MAJOR: synopsis Table 1 claims (18 open-source projects, 2.4x more debt, r = 0.71, &lt;30%/&gt;70% formal assumptions) are NOT in the paper. Actual: qualitative single case study (DroneResponse, sUAS) proposing a 5-type classification of assumption-driven requirements technical debt.</t>
  </si>
  <si>
    <t xml:space="preserve">S22</t>
  </si>
  <si>
    <t xml:space="preserve">L. Duboc, E. Letier, D. S. Rosenblum, and T. Wicks, "A case study in eliciting scalability requirements," in Proc. 16th IEEE Int. Requirements Eng. Conf. (RE), Barcelona, Spain, 2008, pp. 247-252, doi: 10.1109/RE.2008.22.</t>
  </si>
  <si>
    <t xml:space="preserve">S26</t>
  </si>
  <si>
    <t xml:space="preserve">G. Brataas, A. Martini, G. K. Hanssen, and G. Ræder, "Agile elicitation of scalability requirements for open systems: A case study," J. Syst. Softw., vol. 182, Art. no. 111064, 2021, doi: 10.1016/j.jss.2021.111064.</t>
  </si>
  <si>
    <t xml:space="preserve">D46</t>
  </si>
  <si>
    <t xml:space="preserve">Traceability</t>
  </si>
  <si>
    <t xml:space="preserve">O. Gotel and A. Finkelstein, "An analysis of the requirements traceability problem," in Proc. 1st Int. Conf. Requirements Eng. (ICRE), 1994, pp. 94-101, doi: 10.1109/ICRE.1994.292398.</t>
  </si>
  <si>
    <t xml:space="preserve">Confirm initials on import. Only details confirmed from a source are shown; add the rest from the publisher record on import.</t>
  </si>
  <si>
    <t xml:space="preserve">D47</t>
  </si>
  <si>
    <t xml:space="preserve">J. Cleland-Huang, O. Gotel, J. Huffman Hayes, P. Mäder, and A. Zisman, "Software traceability: Trends and future directions," in Proc. Future of Software Engineering (FOSE), 2014, doi: 10.1145/2593882.2593891.</t>
  </si>
  <si>
    <t xml:space="preserve">S39</t>
  </si>
  <si>
    <t xml:space="preserve">J. Mucha, A. Kaufmann, and D. Riehle, "A systematic literature review of pre-requirements specification traceability," Requir. Eng., vol. 29, no. 2, pp. 119-141, 2024, doi: 10.1007/s00766-023-00412-z.</t>
  </si>
  <si>
    <t xml:space="preserve">S40</t>
  </si>
  <si>
    <t xml:space="preserve">D. Fucci, E. Alégroth, and T. Axelsson, "When traceability goes awry: An industrial experience report," J. Syst. Softw., vol. 192, Art. no. 111389, 2022, doi: 10.1016/j.jss.2022.111389.</t>
  </si>
  <si>
    <t xml:space="preserve">Matches. Synopsis Table 1 figures (38%, 22%) still need checking against the paper.</t>
  </si>
  <si>
    <t xml:space="preserve">S41</t>
  </si>
  <si>
    <t xml:space="preserve">S. Maro, J.-P. Steghöfer, and M. Staron, "Software traceability in the automotive domain: Challenges and solutions," J. Syst. Softw., vol. 141, pp. 85-110, 2018, doi: 10.1016/j.jss.2018.03.060.</t>
  </si>
  <si>
    <t xml:space="preserve">Matches. Synopsis figures (64%, 31% OTA) still need checking against the paper.</t>
  </si>
  <si>
    <t xml:space="preserve">S42</t>
  </si>
  <si>
    <t xml:space="preserve">M. Ruiz, J. Y. Hu, and F. Dalpiaz, "Why don't we trace? A study on the barriers to software traceability in practice," Requir. Eng., vol. 28, no. 4, pp. 619-637, 2023, doi: 10.1007/s00766-023-00408-9.</t>
  </si>
  <si>
    <t xml:space="preserve">S43</t>
  </si>
  <si>
    <t xml:space="preserve">W. Abdeen, M. Unterkalmsteiner, P. Löwenadler, P. Yousefi, and K. Wnuk, "Empirical evaluation of taxonomic trace links: A case study," Empir. Softw. Eng., vol. 31, no. 2, Art. no. 34, 2025, doi: 10.1007/s10664-025-10764-5.</t>
  </si>
  <si>
    <t xml:space="preserve">Record lists year 2025 (online); volume 31 is 2026. Full author list recorded. Year shown is the year in the publisher record (online); the printed issue may carry a later year.</t>
  </si>
  <si>
    <t xml:space="preserve">S44</t>
  </si>
  <si>
    <t xml:space="preserve">F. Niu, R. Pan, L. C. Briand, and H. Hu, "TVR: Automotive system requirement traceability validation and recovery through retrieval-augmented generation," arXiv:2504.15427, 2025.</t>
  </si>
  <si>
    <t xml:space="preserve">arXiv page lists 4 authors; synopsis adds 'K. Koravadi' - confirm from the PDF before citing. Synopsis Table 1 figures (84.2%, 79.6%, 81.8%) still to check.</t>
  </si>
  <si>
    <t xml:space="preserve">S45</t>
  </si>
  <si>
    <t xml:space="preserve">F. Tian, T. Wang, P. Liang, C. Wang, A. A. Khan, and M. A. Babar, "The impact of traceability on software maintenance and evolution: A mapping study," J. Softw. Evol. Process, vol. 33, no. 10, 2021. [Online]. Available: https://arxiv.org/abs/2108.02133</t>
  </si>
  <si>
    <t xml:space="preserve">arXiv record confirms authors and acceptance in JSEP 2021. Synopsis gives arXiv DOI; the Wiley journal DOI still to add.</t>
  </si>
  <si>
    <t xml:space="preserve">S67</t>
  </si>
  <si>
    <t xml:space="preserve">P. Rempel, P. Mäder, and T. Kuschke, "An empirical study on project-specific traceability strategies," in Proc. 21st IEEE Int. Requirements Eng. Conf. (RE), Rio de Janeiro, Brazil, 2013, pp. 195-204, doi: 10.1109/RE.2013.6636719.</t>
  </si>
  <si>
    <t xml:space="preserve">CORRECTED spelling: Mäder (synopsis had 'Möder').</t>
  </si>
  <si>
    <t xml:space="preserve">D27</t>
  </si>
  <si>
    <t xml:space="preserve">Safety cases and assurance</t>
  </si>
  <si>
    <t xml:space="preserve">M. Wagner and C. Carlan, "The open autonomy safety case framework," Safety-Critical Systems eJournal, vol. 3, no. 1, 2024. arXiv:2404.05444.</t>
  </si>
  <si>
    <t xml:space="preserve">Authors recorded; journal version found.</t>
  </si>
  <si>
    <t xml:space="preserve">D28</t>
  </si>
  <si>
    <t xml:space="preserve">"Graphical safety assurance case using goal structuring notation (GSN) - challenges, opportunities and a framework for autonomous trains," Reliab. Eng. Syst. Saf., vol. 230, 2023.</t>
  </si>
  <si>
    <t xml:space="preserve">D29</t>
  </si>
  <si>
    <t xml:space="preserve">R. Wei, S. Foster, H. Mei, F. Yan, R. Yang, I. Habli, C. O'Halloran, N. Tudor, T. Kelly, and Y. Nemouchi, "ACCESS: Assurance case centric engineering of safety-critical systems," J. Syst. Softw., 2024, Art. no. 112034, doi: 10.1016/j.jss.2024.112034.</t>
  </si>
  <si>
    <t xml:space="preserve">Published in JSS; cite journal version.</t>
  </si>
  <si>
    <t xml:space="preserve">D15</t>
  </si>
  <si>
    <t xml:space="preserve">Quantum computing and optimisation</t>
  </si>
  <si>
    <t xml:space="preserve">M. Zhang, Y. Li, T. Yue, and K.-Y. Cai, "Quantum optimization for software engineering: A survey," ACM Trans. Softw. Eng. Methodol., doi: 10.1145/3816147. arXiv:2506.16878.</t>
  </si>
  <si>
    <t xml:space="preserve">77 studies; 62.34% quantum-inspired; 91.67% single-objective. Only details confirmed from a source are shown; add the rest from the publisher record on import.</t>
  </si>
  <si>
    <t xml:space="preserve">D17</t>
  </si>
  <si>
    <t xml:space="preserve">H. Araujo, X. Wang, M. Mousavi, and S. Ali, "Using quantum annealing to generate test cases for cyber-physical systems," arXiv:2504.21684, 2025.</t>
  </si>
  <si>
    <t xml:space="preserve">RESOLVED. Authors from Simula Research Laboratory page. Case studies confirmed: platoon of connected vehicles and pneumatic suspension system (draft's 'traffic control and building automation' is wrong). Public lab package on Zenodo (10.5281/zenodo.15328172) for reproducing Phase B baselines.</t>
  </si>
  <si>
    <t xml:space="preserve">D18</t>
  </si>
  <si>
    <t xml:space="preserve">A. Trovato, M. Beseda, and D. Di Nucci, "A preliminary investigation on the usage of quantum approximate optimization algorithms for test case selection," arXiv:2504.18955, 2025.</t>
  </si>
  <si>
    <t xml:space="preserve">Authors confirmed. Evaluated on 4 SIR GNU programs (flex, grep, gzip, sed); K-Means decomposition; noiseless StatevectorSimulator only; 'outperforms traditional baselines and SelectQA in effectiveness', efficiency 'significantly declines' for larger suites.</t>
  </si>
  <si>
    <t xml:space="preserve">D19</t>
  </si>
  <si>
    <t xml:space="preserve">X. Wang, A. Muqeet, T. Yue, S. Ali, and P. Arcaini, "Test case minimization with quantum annealers," ACM Trans. Softw. Eng. Methodol., doi: 10.1145/3680467. arXiv:2308.05505.</t>
  </si>
  <si>
    <t xml:space="preserve">Authors confirmed from arXiv. BootQA: bootstrap-sampling decomposition; new QUBO for test case minimisation with execution time and failure rate; 3 real datasets (89 to 1,663 tests); 'similar effectiveness with SA' and better time efficiency on large problems. Add volume/article number from ACM on import.</t>
  </si>
  <si>
    <t xml:space="preserve">D20</t>
  </si>
  <si>
    <t xml:space="preserve">N. Innan, B. K. Behera, S. Al-Kuwari, and A. Farouk, "QNN-VRCS: A quantum neural network for vehicle road cooperation systems," arXiv:2412.12705, 2024.</t>
  </si>
  <si>
    <t xml:space="preserve">CORRECTED - WRONG TITLE in draft ('Quantum Computing for ADAS and Autonomous Vehicles: A Review'). arXiv 2412.12705 is QNN-VRCS (traffic-light classification with a QNN), which matches how the draft describes it.</t>
  </si>
  <si>
    <t xml:space="preserve">D34</t>
  </si>
  <si>
    <t xml:space="preserve">D. R. Kuhn et al., "Combinatorial testing: Theory and practice," Adv. Comput., 2015.</t>
  </si>
  <si>
    <t xml:space="preserve">Confirm authors, volume, pages and DOI on import. Only details confirmed from a source are shown; add the rest from the publisher record on import.</t>
  </si>
  <si>
    <t xml:space="preserve">D35</t>
  </si>
  <si>
    <t xml:space="preserve">"Commonly used coverage measures do not apply well to combinatorial testing," NIST publication 913807.</t>
  </si>
  <si>
    <t xml:space="preserve">Add authors, venue and year.</t>
  </si>
  <si>
    <t xml:space="preserve">D36</t>
  </si>
  <si>
    <t xml:space="preserve">E. Farhi, J. Goldstone, and S. Gutmann, "A quantum approximate optimization algorithm," arXiv:1411.4028, 2014.</t>
  </si>
  <si>
    <t xml:space="preserve">D37</t>
  </si>
  <si>
    <t xml:space="preserve">C. C. McGeoch, Adiabatic Quantum Computation and Quantum Annealing: Theory and Practice (Synthesis Lectures on Quantum Computing). Cham, Switzerland: Springer, doi: 10.1007/978-3-031-02518-1.</t>
  </si>
  <si>
    <t xml:space="preserve">Author was missing in draft. Only details confirmed from a source are shown; add the rest from the publisher record on import.</t>
  </si>
  <si>
    <t xml:space="preserve">D38</t>
  </si>
  <si>
    <t xml:space="preserve">S. Yarkoni, E. Raponi, T. Bäck, and S. Schmitt, "Quantum annealing for industry applications: Introduction and review," Rep. Prog. Phys., vol. 85, no. 10, Art. no. 104001, 2022, doi: 10.1088/1361-6633/ac8c54.</t>
  </si>
  <si>
    <t xml:space="preserve">Cite journal version (Reports on Progress in Physics).</t>
  </si>
  <si>
    <t xml:space="preserve">D39</t>
  </si>
  <si>
    <t xml:space="preserve">"Quantum annealing applications, challenges and limitations for optimisation problems compared to classical solvers," Sci. Rep., 2025, doi: 10.1038/s41598-025-96220-2.</t>
  </si>
  <si>
    <t xml:space="preserve">Add authors, volume on import.</t>
  </si>
  <si>
    <t xml:space="preserve">D42</t>
  </si>
  <si>
    <t xml:space="preserve">A. Lucas, "Ising formulations of many NP problems," Front. Phys., vol. 2, Art. no. 5, 2014, doi: 10.3389/fphy.2014.00005.</t>
  </si>
  <si>
    <t xml:space="preserve">DOI confirmed on the Frontiers site.</t>
  </si>
  <si>
    <t xml:space="preserve">D43</t>
  </si>
  <si>
    <t xml:space="preserve">J. Preskill, "Quantum computing in the NISQ era and beyond," Quantum, vol. 2, Art. no. 79, 2018, doi: 10.22331/q-2018-08-06-79.</t>
  </si>
  <si>
    <t xml:space="preserve">Matches (also S50, merged).</t>
  </si>
  <si>
    <t xml:space="preserve">D63</t>
  </si>
  <si>
    <t xml:space="preserve">J. King, S. Yarkoni et al., "Benchmarking a quantum annealing processor with the time-to-target metric," arXiv:1508.05087, 2015.</t>
  </si>
  <si>
    <t xml:space="preserve">S51</t>
  </si>
  <si>
    <t xml:space="preserve">M. Cerezo, A. Arrasmith, R. Babbush, S. C. Benjamin, S. Endo, K. Fujii, J. R. McClean, K. Mitarai, X. Yuan, L. Cincio, and P. J. Coles, "Variational quantum algorithms," Nat. Rev. Phys., vol. 3, no. 9, pp. 625-644, 2021, doi: 10.1038/s42254-021-00348-9.</t>
  </si>
  <si>
    <t xml:space="preserve">S52</t>
  </si>
  <si>
    <t xml:space="preserve">A. Montanaro, "Quantum algorithms: An overview," npj Quantum Inf., vol. 2, Art. no. 15023, 2016, doi: 10.1038/npjqi.2015.23.</t>
  </si>
  <si>
    <t xml:space="preserve">S53</t>
  </si>
  <si>
    <t xml:space="preserve">L. K. Grover, "A fast quantum mechanical algorithm for database search," in Proc. 28th Annu. ACM Symp. Theory of Computing (STOC), 1996, pp. 212-219, doi: 10.1145/237814.237866.</t>
  </si>
  <si>
    <t xml:space="preserve">S54</t>
  </si>
  <si>
    <t xml:space="preserve">P. D. Nation, H. Kang, N. Sundaresan, and J. M. Gambetta, "Scalable mitigation of measurement errors on quantum computers," PRX Quantum, vol. 2, no. 4, Art. no. 040326, 2021, doi: 10.1103/PRXQuantum.2.040326.</t>
  </si>
  <si>
    <t xml:space="preserve">S65</t>
  </si>
  <si>
    <t xml:space="preserve">S. Feld, C. Roch, T. Gabor, C. Seidel, F. Neukart, I. Galter, W. Mauerer, and C. Linnhoff-Popien, "A hybrid solution method for the capacitated vehicle routing problem using a quantum annealer," Front. ICT, vol. 6, Art. no. 13, 2019, doi: 10.3389/fict.2019.00013.</t>
  </si>
  <si>
    <t xml:space="preserve">Full author list recorded. Synopsis Table 1 figures (89%, 0.02 s vs 45 s) still need checking against the paper.</t>
  </si>
  <si>
    <t xml:space="preserve">S66</t>
  </si>
  <si>
    <t xml:space="preserve">Ö. Salehi, A. Glos, and J. A. Miszczak, "Unconstrained binary models of the travelling salesman problem variants for quantum optimization," Quantum Inf. Process., vol. 21, no. 2, Art. no. 67, 2022, doi: 10.1007/s11128-021-03405-5.</t>
  </si>
  <si>
    <t xml:space="preserve">D16</t>
  </si>
  <si>
    <t xml:space="preserve">Quantum software engineering</t>
  </si>
  <si>
    <t xml:space="preserve">A. Govindankutty, "A review of formal methods in quantum-circuit verification," Electronics, vol. 15, no. 5, Art. no. 1125, 2026.</t>
  </si>
  <si>
    <t xml:space="preserve">Add DOI on import.</t>
  </si>
  <si>
    <t xml:space="preserve">S55</t>
  </si>
  <si>
    <t xml:space="preserve">K. Hietala, R. Rand, S.-H. Hung, X. Wu, and M. Hicks, "A verified optimizer for quantum circuits," Proc. ACM Program. Lang., vol. 5, no. POPL, pp. 1-29, 2021, doi: 10.1145/3434318.</t>
  </si>
  <si>
    <t xml:space="preserve">Matches. Relevance to revised scope: background only.</t>
  </si>
  <si>
    <t xml:space="preserve">S57</t>
  </si>
  <si>
    <t xml:space="preserve">M. A. Serrano, J. A. Cruz-Lemus, R. Pérez-Castillo, and M. Piattini, "Quantum software components and platforms: Overview and quality assessment," ACM Comput. Surv., vol. 55, no. 8, pp. 1-31, 2022, doi: 10.1145/3548679.</t>
  </si>
  <si>
    <t xml:space="preserve">CORRECTED: synopsis listed WRONG AUTHORS (Murillo, Garcia-Alonso, Moguel, Barrera, Garcia, Piattini) and pp. 1-37. Record shows Serrano, Cruz-Lemus, Pérez-Castillo, Piattini; pp. 1-31.</t>
  </si>
  <si>
    <t xml:space="preserve">S58</t>
  </si>
  <si>
    <t xml:space="preserve">M. Piattini, M. Serrano, R. Pérez-Castillo, G. Petersen, and J. L. Hevia, "Toward a quantum software engineering," IT Prof., vol. 23, no. 1, pp. 62-66, 2021, doi: 10.1109/MITP.2020.3019522.</t>
  </si>
  <si>
    <t xml:space="preserve">CORRECTED: synopsis listed WRONG co-authors (Murillo, Garcia-Alonso). Record shows Piattini, Serrano, Pérez-Castillo, Petersen, Hevia.</t>
  </si>
  <si>
    <t xml:space="preserve">S59</t>
  </si>
  <si>
    <t xml:space="preserve">B. Weder, J. Barzen, F. Leymann, and D. Vietz, "Quantum software development lifecycle," in Quantum Software Engineering, M. A. Serrano, R. Pérez-Castillo, and M. Piattini, Eds. Cham, Switzerland: Springer, 2022, pp. 61-83, doi: 10.1007/978-3-031-05324-5_4.</t>
  </si>
  <si>
    <t xml:space="preserve">CORRECTED - MAJOR: synopsis gives wrong authors (Serrano et al.), wrong book title, wrong pages and a broken DOI. Real chapter is by Weder, Barzen, Leymann, Vietz. Synopsis Table 1 row for [59] (4 hybrid projects, 23% modularity, 18% fidelity) is not supported by this chapter: delete that row.</t>
  </si>
  <si>
    <t xml:space="preserve">S60</t>
  </si>
  <si>
    <t xml:space="preserve">M. Paltenghi and M. Pradel, "Bugs in quantum computing platforms: An empirical study," Proc. ACM Program. Lang., vol. 6, no. OOPSLA1, pp. 1-27, 2022, doi: 10.1145/3527330.</t>
  </si>
  <si>
    <t xml:space="preserve">Matches (pp. 1-27, synopsis said 1-25). Synopsis Table 1 figures (223 bugs, 40/32/28%, 76%) still need checking against the paper.</t>
  </si>
  <si>
    <t xml:space="preserve">S61</t>
  </si>
  <si>
    <t xml:space="preserve">S. Ali and T. Yue, "Quantum software testing: A brief introduction," in Proc. IEEE/ACM 45th Int. Conf. Software Engineering: Companion (ICSE-Companion), Melbourne, Australia, 2023, pp. 332-333, doi: 10.1109/ICSE-Companion58688.2023.00093.</t>
  </si>
  <si>
    <t xml:space="preserve">DOI located via ACM DL listing (ICSE 2023 technical briefing).</t>
  </si>
  <si>
    <t xml:space="preserve">S62</t>
  </si>
  <si>
    <t xml:space="preserve">M. Ying, "Floyd-Hoare logic for quantum programs," ACM Trans. Program. Lang. Syst., vol. 33, no. 6, pp. 1-49, 2011, doi: 10.1145/2049706.2049708.</t>
  </si>
  <si>
    <t xml:space="preserve">D9</t>
  </si>
  <si>
    <t xml:space="preserve">ML/AI safety, testing and explainability</t>
  </si>
  <si>
    <t xml:space="preserve">M. Abboush, C. Knieke, and A. Rausch, "Advancing real-time validation of automotive software systems via continuous integration and intelligent failure analysis," Sci. Rep., vol. 15, Art. no. 32936, 2025, doi: 10.1038/s41598-025-21416-5.</t>
  </si>
  <si>
    <t xml:space="preserve">91.85% = average F1 for known-fault classification. Only details confirmed from a source are shown; add the rest from the publisher record on import.</t>
  </si>
  <si>
    <t xml:space="preserve">D45</t>
  </si>
  <si>
    <t xml:space="preserve">J. M. Zhang, M. Harman, L. Ma, and Y. Liu, "Machine learning testing: Survey, landscapes and horizons," IEEE Trans. Softw. Eng., doi: 10.1109/TSE.2019.2962027.</t>
  </si>
  <si>
    <t xml:space="preserve">Confirm volume/pages on import (early access 2019). Only details confirmed from a source are shown; add the rest from the publisher record on import.</t>
  </si>
  <si>
    <t xml:space="preserve">D52</t>
  </si>
  <si>
    <t xml:space="preserve">L. Huang et al., "A survey on hallucination in large language models: Principles, taxonomy, challenges, and open questions," ACM Trans. Inf. Syst., doi: 10.1145/3703155.</t>
  </si>
  <si>
    <t xml:space="preserve">Add full author list and volume on import. Only details confirmed from a source are shown; add the rest from the publisher record on import.</t>
  </si>
  <si>
    <t xml:space="preserve">D53</t>
  </si>
  <si>
    <t xml:space="preserve">"Explainable AI for safe and trustworthy autonomous driving: A systematic review," IEEE Trans. Intell. Transp. Syst., 2024, doi: 10.1109/TITS.2024.3474469.</t>
  </si>
  <si>
    <t xml:space="preserve">D55</t>
  </si>
  <si>
    <t xml:space="preserve">A. Pérez-Cerrolaza et al., "Artificial intelligence for safety-critical systems in industrial and transportation domains: A survey," ACM Comput. Surv., 2024, doi: 10.1145/3626314.</t>
  </si>
  <si>
    <t xml:space="preserve">Add full author list and volume on import.</t>
  </si>
  <si>
    <t xml:space="preserve">D59</t>
  </si>
  <si>
    <t xml:space="preserve">T. Y. Chen et al., "Metamorphic testing: A review of challenges and opportunities," ACM Comput. Surv., vol. 51, no. 1, 2018, doi: 10.1145/3143561.</t>
  </si>
  <si>
    <t xml:space="preserve">Add full author list on import. Only details confirmed from a source are shown; add the rest from the publisher record on import.</t>
  </si>
  <si>
    <t xml:space="preserve">S12</t>
  </si>
  <si>
    <t xml:space="preserve">C. Ghezzi, M. Ebrahimi, D. Isovic, and M. Sirjani, "Breaking disciplinary silos: The case of software engineering," in Digital Humanism (DIGHUM 2025), Lecture Notes in Computer Science, vol. 16319. Cham, Switzerland: Springer, 2025, pp. 421-435, doi: 10.1007/978-3-032-11108-1_32.</t>
  </si>
  <si>
    <t xml:space="preserve">Year 2025 (synopsis said 2026). Relevance weak: confirm it actually supports the 100x-1000x cost claim before citing.</t>
  </si>
  <si>
    <t xml:space="preserve">S37</t>
  </si>
  <si>
    <t xml:space="preserve">V. Hassija, V. Chamola, A. Mahapatra, A. Singal, D. Goel, K. Huang, S. Scardapane, I. Spinelli, M. Mahmud, and A. Hussain, "Interpreting black-box models: A review on explainable artificial intelligence," Cogn. Comput., vol. 16, no. 1, pp. 45-74, 2023, doi: 10.1007/s12559-023-10179-8.</t>
  </si>
  <si>
    <t xml:space="preserve">Matches (online 2023, issue 2024). Relevance to revised scope: background only. Year shown is the year in the publisher record (online); the printed issue may carry a later year.</t>
  </si>
  <si>
    <t xml:space="preserve">S38</t>
  </si>
  <si>
    <t xml:space="preserve">E. Şahin, N. N. Arslan, and D. Özdemir, "Unlocking the black box: An in-depth review on interpretability, explainability, and reliability in deep learning," Neural Comput. Appl., vol. 37, no. 2, pp. 859-965, 2024, doi: 10.1007/s00521-024-10437-2.</t>
  </si>
  <si>
    <t xml:space="preserve">Broken DOI repaired and confirmed. Relevance: background only. Year shown is the year in the publisher record (online); the printed issue may carry a later year.</t>
  </si>
  <si>
    <t xml:space="preserve">S47</t>
  </si>
  <si>
    <t xml:space="preserve">A. Pereira and C. Thomas, "Challenges of machine learning applied to safety-critical cyber-physical systems," Mach. Learn. Knowl. Extr., vol. 2, no. 4, pp. 579-602, 2020, doi: 10.3390/make2040031.</t>
  </si>
  <si>
    <t xml:space="preserve">Reference as it was written</t>
  </si>
  <si>
    <t xml:space="preserve">Reason removed</t>
  </si>
  <si>
    <t xml:space="preserve">D65</t>
  </si>
  <si>
    <t xml:space="preserve">"A Short Survey on Formalising Software Requirements using Large Language Models," arXiv:2506.11874, 2025.</t>
  </si>
  <si>
    <t xml:space="preserve">Duplicate of D14 (same arXiv 2506.11874).</t>
  </si>
  <si>
    <t xml:space="preserve">S2</t>
  </si>
  <si>
    <t xml:space="preserve">NHTSA, "Engineering Analysis EA26002: Tesla Full Self Driving Reduced Visibility Performance," National Highway Traffic Safety Administration, Washington, DC, Mar. 2026. [Online]. Available: https://static.nhtsa.gov/odi/inv/2026/INOA-EA26002-10023.pdf</t>
  </si>
  <si>
    <t xml:space="preserve">Duplicate of D2 (EA26002).</t>
  </si>
  <si>
    <t xml:space="preserve">S3</t>
  </si>
  <si>
    <t xml:space="preserve">NHTSA, "Consent Order: Cruise LLC Pedestrian Crash Reporting Failure," National Highway Traffic Safety Administration, Washington, DC, Sept. 30, 2024. [Online]. Available: https://www.nhtsa.gov https://www.nhtsa.gov/sites/nhtsa.gov/files/2024-09/cruise-consent-order-2024-web.pdf https://www.nhtsa.gov/press-releases/consent-order-cruise-crash-reporting</t>
  </si>
  <si>
    <t xml:space="preserve">Duplicate of D4 (Cruise consent order).</t>
  </si>
  <si>
    <t xml:space="preserve">S4</t>
  </si>
  <si>
    <t xml:space="preserve">Toyota Motor Corporation, "Safety Recall: 2025–2026 Lexus LX 600 Transmission and Camera Software Defects," Toyota Newsroom, Feb. 18, 2026. [Online]. Available: https://pressroom.toyota.com https://pressroom.toyota.com/toyota-recalls-certain-model-year-2025-2026-lexus-lx-600-vehicles/</t>
  </si>
  <si>
    <t xml:space="preserve">Duplicate of D6 (Lexus LX 600 recall).</t>
  </si>
  <si>
    <t xml:space="preserve">S7</t>
  </si>
  <si>
    <t xml:space="preserve">Abboush, M., Knieke, C. &amp; Rausch, A. Advancing real-time validation of automotive software systems via continuous integration and intelligent failure analysis. Sci Rep 15, 32936 (2025). https://doi.org/10.1038/s41598-025-21416-5</t>
  </si>
  <si>
    <t xml:space="preserve">Duplicate of D9 (Abboush et al.).</t>
  </si>
  <si>
    <t xml:space="preserve">S13</t>
  </si>
  <si>
    <t xml:space="preserve">ISO, “ISO 26262:2018 Road Vehicles: Functional Safety,” International Organization for Standardization, Geneva, Switzerland, 2018. [Online]. Available: https://www.iso.org/standard/68383.html</t>
  </si>
  <si>
    <t xml:space="preserve">Duplicate of D40 (ISO 26262).</t>
  </si>
  <si>
    <t xml:space="preserve">S46</t>
  </si>
  <si>
    <t xml:space="preserve">A. Beg, D. O’Donoghue, and R. Monahan, “A short survey on formalising software requirements using large language models,” arXiv:2506.11874, 2025. [Online]. Available: https://arxiv.org/abs/2506.11874</t>
  </si>
  <si>
    <t xml:space="preserve">Duplicate of D14.</t>
  </si>
  <si>
    <t xml:space="preserve">S50</t>
  </si>
  <si>
    <t xml:space="preserve">J. Preskill, “Quantum computing in the NISQ era and beyond,” Quantum, vol. 2, p. 79, Aug. 2018. doi: 10.22331/q 2018 08 06 79</t>
  </si>
  <si>
    <t xml:space="preserve">Duplicate of D43 (Preskill).</t>
  </si>
  <si>
    <t xml:space="preserve">D30</t>
  </si>
  <si>
    <t xml:space="preserve">"A Taxonomy and Comprehensive Survey of Scenario Generation for Autonomous Driving: Methods, Challenges, and Emerging Trends in Safety-Critical Testing," Cambridge Open Engage, 2025.</t>
  </si>
  <si>
    <t xml:space="preserve">Preprint on Cambridge Open Engage, not peer-reviewed.</t>
  </si>
  <si>
    <t xml:space="preserve">S1</t>
  </si>
  <si>
    <t xml:space="preserve">NTSB, "Highway Accident Report: Fatally Injured Pedestrian – BlueCruise Investigation," NTSB/HAR 26/01, Mar. 31, 2026. [Online]. Available: https://www.ntsb.gov/investigations/Pages/HWY24FH006.aspx</t>
  </si>
  <si>
    <t xml:space="preserve">Title "NTSB/HAR 26/01 Fatally Injured Pedestrian" could not be confirmed; the checked NTSB press release (D1) covers the same event.</t>
  </si>
  <si>
    <t xml:space="preserve">S10</t>
  </si>
  <si>
    <t xml:space="preserve">IoT Analytics, “The State of Software Defined Vehicles: Verification Risks and AI Challenges,” Industry White Paper, 2026. [Online]. Available: https://iot analytics.com</t>
  </si>
  <si>
    <t xml:space="preserve">Grey-literature white paper; no specific document found.</t>
  </si>
  <si>
    <t xml:space="preserve">S11</t>
  </si>
  <si>
    <t xml:space="preserve">Fortune Business Insights, “Automotive Software Market Size and Growth Report 2026–2034,” Jan. 2026. [Online]. Available: https://www.fortunebusinessinsights.com</t>
  </si>
  <si>
    <t xml:space="preserve">Commercial market report; not suitable as PhD evidence.</t>
  </si>
  <si>
    <t xml:space="preserve">S32</t>
  </si>
  <si>
    <t xml:space="preserve">Alinier, G., Oriot, D. Simulation-based education: deceiving learners with good intent. Adv Simul 7, 8 (2022). https://doi.org/10.1186/s41077-022-00206-3</t>
  </si>
  <si>
    <t xml:space="preserve">Off-topic: medical simulation-based education.</t>
  </si>
  <si>
    <t xml:space="preserve">S48</t>
  </si>
  <si>
    <t xml:space="preserve">T. B. Trinh and N. T. Truong, “Formal specification and verification of rule based artificial intelligence systems using Event B,” Research Square, 2025. doi: 10.21203/rs.3.rs-7313564/v1</t>
  </si>
  <si>
    <t xml:space="preserve">Research Square preprint on Event-B for rule-based AI; weak fit to revised scope.</t>
  </si>
  <si>
    <t xml:space="preserve">S49</t>
  </si>
  <si>
    <t xml:space="preserve">M. Brezovan and C. Badica, “Event B modeling of a rule base for an expert system using forward chaining,” in Proc. 7th Balkan Conf. Informatics (BCI), New York, NY, USA: ACM, 2015, Art. 7. doi: 10.1145/2801081.2801101</t>
  </si>
  <si>
    <t xml:space="preserve">Event-B expert-system modelling; weak fit to revised scope.</t>
  </si>
  <si>
    <t xml:space="preserve">S56</t>
  </si>
  <si>
    <t xml:space="preserve">Anouk Paradis, Jasper Dekoninck, Benjamin Bichsel, and Martin Vechev. 2024. Synthetiq: Fast and Versatile Quantum Circuit Synthesis. Proc. ACM Program. Lang. 8, OOPSLA1, Article 96 (April 2024), 28 pages. https://doi.org/10.1145/3649813</t>
  </si>
  <si>
    <t xml:space="preserve">Quantum circuit synthesis; weak fit to revised scope.</t>
  </si>
  <si>
    <t xml:space="preserve">S68</t>
  </si>
  <si>
    <t xml:space="preserve">O. A. Bastías, J. Díaz, and J. López Fenner, “Exploring the intersection between software maintenance and machine learning A systematic mapping study,” Appl. Sci., vol. 13, p. 1710, 2023. doi: 10.3390/app13031710.</t>
  </si>
  <si>
    <t xml:space="preserve">ML and software maintenance mapping study; weak fit to revised scope.</t>
  </si>
  <si>
    <t xml:space="preserve">Where</t>
  </si>
  <si>
    <t xml:space="preserve">What it says now</t>
  </si>
  <si>
    <t xml:space="preserve">What the source actually says</t>
  </si>
  <si>
    <t xml:space="preserve">Action</t>
  </si>
  <si>
    <t xml:space="preserve">Synopsis Table 7, §3.4.3</t>
  </si>
  <si>
    <t xml:space="preserve">[9] reports ~100% virtual pass rate, 5 OEMs, 0/5 formal ODD, 10-18% ODD coverage</t>
  </si>
  <si>
    <t xml:space="preserve">Workshop (7 participants) + survey (10 respondents, 9 organisations, 4 automotive companies); none of these figures appear</t>
  </si>
  <si>
    <t xml:space="preserve">Delete Table 7 and the text built on it</t>
  </si>
  <si>
    <t xml:space="preserve">Synopsis Table 6, §3.4.2</t>
  </si>
  <si>
    <t xml:space="preserve">[8] timeout 2% at 10K LOC to ~100% at 100M LOC</t>
  </si>
  <si>
    <t xml:space="preserve">[8] is the SV-COMP 2025 competition report; no LOC-timeout study</t>
  </si>
  <si>
    <t xml:space="preserve">Delete Table 6</t>
  </si>
  <si>
    <t xml:space="preserve">Synopsis Tables 2, 5, 8</t>
  </si>
  <si>
    <t xml:space="preserve">[7] 91.85% correctness, 8.15% error ceiling</t>
  </si>
  <si>
    <t xml:space="preserve">91.85% is the average F1-score for known-fault classification</t>
  </si>
  <si>
    <t xml:space="preserve">Remove the error-ceiling argument</t>
  </si>
  <si>
    <t xml:space="preserve">Synopsis Table 1, row [20]</t>
  </si>
  <si>
    <t xml:space="preserve">200 specifications, 76% formalised, 8.3% hallucination</t>
  </si>
  <si>
    <t xml:space="preserve">71 requirements in 3 CPS scenarios; 43.6% exact + 38.2% partial match; 88.7% verifiability accuracy; 77.8% effective semantic translation</t>
  </si>
  <si>
    <t xml:space="preserve">Replace with the real figures or delete</t>
  </si>
  <si>
    <t xml:space="preserve">Synopsis Table 1, row [21]</t>
  </si>
  <si>
    <t xml:space="preserve">18 open-source projects, 2.4x debt, r = 0.71</t>
  </si>
  <si>
    <t xml:space="preserve">Qualitative single case study (DroneResponse) proposing a 5-type classification</t>
  </si>
  <si>
    <t xml:space="preserve">Delete the row</t>
  </si>
  <si>
    <t xml:space="preserve">Synopsis Table 1, row [25]</t>
  </si>
  <si>
    <t xml:space="preserve">24 practitioners + 12 researchers, 83%, 71%</t>
  </si>
  <si>
    <t xml:space="preserve">Abstract reports interviews with 30 practitioners</t>
  </si>
  <si>
    <t xml:space="preserve">Delete unless found in full text</t>
  </si>
  <si>
    <t xml:space="preserve">Synopsis Table 1, row [59]</t>
  </si>
  <si>
    <t xml:space="preserve">Serrano et al. 2022, 4 hybrid projects, 23% / 18% improvements</t>
  </si>
  <si>
    <t xml:space="preserve">Chapter is by Weder, Barzen, Leymann, Vietz; a lifecycle description, no such evaluation</t>
  </si>
  <si>
    <t xml:space="preserve">Synopsis refs [57], [58], [59]</t>
  </si>
  <si>
    <t xml:space="preserve">Author lists</t>
  </si>
  <si>
    <t xml:space="preserve">All three had wrong authors (see References sheet)</t>
  </si>
  <si>
    <t xml:space="preserve">Use corrected entries</t>
  </si>
  <si>
    <t xml:space="preserve">Synopsis §6 case study</t>
  </si>
  <si>
    <t xml:space="preserve">56 of 150 violations, 37% improvement</t>
  </si>
  <si>
    <t xml:space="preserve">No code or data produced this</t>
  </si>
  <si>
    <t xml:space="preserve">Delete</t>
  </si>
  <si>
    <t xml:space="preserve">Draft Ch.1 §1.2</t>
  </si>
  <si>
    <t xml:space="preserve">Ford disputes NTSB finding on grounds including alcohol impairment</t>
  </si>
  <si>
    <t xml:space="preserve">NTSB press release does not mention alcohol</t>
  </si>
  <si>
    <t xml:space="preserve">Remove or cite Ford's own statement</t>
  </si>
  <si>
    <t xml:space="preserve">Waymo braked from ~17 mph to under 6 mph</t>
  </si>
  <si>
    <t xml:space="preserve">NTSB page gives 17 mph and minor injuries; the 6 mph figure is not there</t>
  </si>
  <si>
    <t xml:space="preserve">Cite a source for 6 mph or remove it</t>
  </si>
  <si>
    <t xml:space="preserve">Draft Ch.1 §1.2 / Ch.2</t>
  </si>
  <si>
    <t xml:space="preserve">EA26002 conditions: fog, glare, direct sun</t>
  </si>
  <si>
    <t xml:space="preserve">NHTSA text: glare and airborne obscurants</t>
  </si>
  <si>
    <t xml:space="preserve">Use NHTSA wording</t>
  </si>
  <si>
    <t xml:space="preserve">Draft Ch.2 §2.4</t>
  </si>
  <si>
    <t xml:space="preserve">QSE survey: 32 problems; 72% of multi-objective studies simplified; no formal-verification work</t>
  </si>
  <si>
    <t xml:space="preserve">77 studies, 32 problems; 62.34% quantum-inspired; 91.67% single-objective reformulations; formal-verification absence not confirmed</t>
  </si>
  <si>
    <t xml:space="preserve">Correct the numbers; drop the unconfirmed claim</t>
  </si>
  <si>
    <t xml:space="preserve">[17] evaluated on traffic control and building automation</t>
  </si>
  <si>
    <t xml:space="preserve">Abstract page indicates vehicle platooning and pneumatic suspension</t>
  </si>
  <si>
    <t xml:space="preserve">Confirm from full text, then correct</t>
  </si>
  <si>
    <t xml:space="preserve">Draft Ch.2 §2.3</t>
  </si>
  <si>
    <t xml:space="preserve">[22] Ferrari and Esuli</t>
  </si>
  <si>
    <t xml:space="preserve">Authors are Shah and Jinwala</t>
  </si>
  <si>
    <t xml:space="preserve">Correct</t>
  </si>
  <si>
    <t xml:space="preserve">[20] titled "Quantum Computing for ADAS and AVs: A Review"</t>
  </si>
  <si>
    <t xml:space="preserve">arXiv 2412.12705 is "QNN-VRCS" by Innan et al.</t>
  </si>
  <si>
    <t xml:space="preserve">Correct the title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</si>
</sst>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C6EFCE"/>
        <bgColor rgb="FFDDEBF7"/>
      </patternFill>
    </fill>
    <fill>
      <patternFill patternType="solid">
        <fgColor rgb="FFFFF2CC"/>
        <bgColor rgb="FFFCE4D6"/>
      </patternFill>
    </fill>
    <fill>
      <patternFill patternType="solid">
        <fgColor rgb="FFF8CBAD"/>
        <bgColor rgb="FFFCE4D6"/>
      </patternFill>
    </fill>
    <fill>
      <patternFill patternType="solid">
        <fgColor rgb="FFDDEBF7"/>
        <bgColor rgb="FFCCFFFF"/>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3" min="3" style="1" width="90"/>
  </cols>
  <sheetData>
    <row r="1" customFormat="false" ht="15" hidden="false" customHeight="true" outlineLevel="0" collapsed="false">
      <c r="A1" s="2" t="s">
        <v>0</v>
      </c>
      <c r="B1" s="2" t="s">
        <v>1</v>
      </c>
      <c r="C1" s="2" t="s">
        <v>2</v>
      </c>
    </row>
    <row r="2" customFormat="false" ht="15" hidden="false" customHeight="true" outlineLevel="0" collapsed="false">
      <c r="A2" s="3" t="s">
        <v>3</v>
      </c>
      <c r="B2" s="3" t="n">
        <f aca="false">COUNTIF(References!D2:D119,"Checked")</f>
        <v>65</v>
      </c>
      <c r="C2" s="3" t="s">
        <v>4</v>
      </c>
    </row>
    <row r="3" customFormat="false" ht="15" hidden="false" customHeight="true" outlineLevel="0" collapsed="false">
      <c r="A3" s="3" t="s">
        <v>5</v>
      </c>
      <c r="B3" s="3" t="n">
        <f aca="false">COUNTIF(References!D2:D119,"Found")</f>
        <v>42</v>
      </c>
      <c r="C3" s="3" t="s">
        <v>6</v>
      </c>
    </row>
    <row r="4" customFormat="false" ht="15" hidden="false" customHeight="true" outlineLevel="0" collapsed="false">
      <c r="A4" s="3" t="s">
        <v>7</v>
      </c>
      <c r="B4" s="3" t="n">
        <f aca="false">COUNTIF(References!D2:D119,"Problem-fixed")</f>
        <v>11</v>
      </c>
      <c r="C4" s="3" t="s">
        <v>8</v>
      </c>
    </row>
    <row r="5" customFormat="false" ht="15" hidden="false" customHeight="true" outlineLevel="0" collapsed="false">
      <c r="A5" s="3" t="s">
        <v>9</v>
      </c>
      <c r="B5" s="3" t="n">
        <f aca="false">COUNTIF(References!D2:D119,"Problem-pending")</f>
        <v>0</v>
      </c>
      <c r="C5" s="3" t="s">
        <v>10</v>
      </c>
    </row>
    <row r="6" customFormat="false" ht="15" hidden="false" customHeight="true" outlineLevel="0" collapsed="false">
      <c r="A6" s="3" t="s">
        <v>11</v>
      </c>
      <c r="B6" s="3" t="n">
        <f aca="false">SUM(B2:B5)</f>
        <v>118</v>
      </c>
      <c r="C6" s="3"/>
    </row>
    <row r="7" customFormat="false" ht="15" hidden="false" customHeight="true" outlineLevel="0" collapsed="false">
      <c r="A7" s="3" t="s">
        <v>12</v>
      </c>
      <c r="B7" s="3" t="n">
        <f aca="false">COUNTA(Removed!A2:A18)</f>
        <v>17</v>
      </c>
      <c r="C7" s="3" t="s">
        <v>13</v>
      </c>
    </row>
    <row r="9" customFormat="false" ht="23.25" hidden="false" customHeight="true" outlineLevel="0" collapsed="false">
      <c r="A9" s="3" t="s">
        <v>14</v>
      </c>
      <c r="B9" s="3" t="n">
        <f aca="false">COUNTA('Candidates (Phase 1 pilot)'!A2:A39)</f>
        <v>38</v>
      </c>
      <c r="C9" s="3"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10"/>
    <col collapsed="false" customWidth="true" hidden="false" outlineLevel="0" max="5" min="4" style="1" width="60"/>
    <col collapsed="false" customWidth="true" hidden="false" outlineLevel="0" max="6" min="6" style="1" width="55"/>
    <col collapsed="false" customWidth="true" hidden="false" outlineLevel="0" max="7" min="7" style="1" width="10"/>
  </cols>
  <sheetData>
    <row r="1" customFormat="false" ht="23.25" hidden="false" customHeight="true" outlineLevel="0" collapsed="false">
      <c r="A1" s="4" t="s">
        <v>16</v>
      </c>
      <c r="B1" s="4" t="s">
        <v>17</v>
      </c>
      <c r="C1" s="4" t="s">
        <v>0</v>
      </c>
      <c r="D1" s="4" t="s">
        <v>18</v>
      </c>
      <c r="E1" s="4" t="s">
        <v>19</v>
      </c>
      <c r="F1" s="4" t="s">
        <v>20</v>
      </c>
      <c r="G1" s="4" t="s">
        <v>21</v>
      </c>
    </row>
    <row r="2" customFormat="false" ht="45.75" hidden="false" customHeight="true" outlineLevel="0" collapsed="false">
      <c r="A2" s="5" t="s">
        <v>22</v>
      </c>
      <c r="B2" s="5" t="s">
        <v>23</v>
      </c>
      <c r="C2" s="6" t="s">
        <v>3</v>
      </c>
      <c r="D2" s="5" t="s">
        <v>24</v>
      </c>
      <c r="E2" s="5" t="s">
        <v>25</v>
      </c>
      <c r="F2" s="7" t="s">
        <v>26</v>
      </c>
      <c r="G2" s="5"/>
    </row>
    <row r="3" customFormat="false" ht="45.75" hidden="false" customHeight="true" outlineLevel="0" collapsed="false">
      <c r="A3" s="5" t="s">
        <v>27</v>
      </c>
      <c r="B3" s="5" t="s">
        <v>28</v>
      </c>
      <c r="C3" s="6" t="s">
        <v>3</v>
      </c>
      <c r="D3" s="5" t="s">
        <v>29</v>
      </c>
      <c r="E3" s="5" t="s">
        <v>30</v>
      </c>
      <c r="F3" s="8" t="s">
        <v>31</v>
      </c>
      <c r="G3" s="5"/>
    </row>
    <row r="4" customFormat="false" ht="45.75" hidden="false" customHeight="true" outlineLevel="0" collapsed="false">
      <c r="A4" s="5" t="s">
        <v>32</v>
      </c>
      <c r="B4" s="5" t="s">
        <v>23</v>
      </c>
      <c r="C4" s="6" t="s">
        <v>3</v>
      </c>
      <c r="D4" s="5" t="s">
        <v>33</v>
      </c>
      <c r="E4" s="5" t="s">
        <v>34</v>
      </c>
      <c r="F4" s="7" t="s">
        <v>35</v>
      </c>
      <c r="G4" s="5"/>
    </row>
    <row r="5" customFormat="false" ht="57" hidden="false" customHeight="true" outlineLevel="0" collapsed="false">
      <c r="A5" s="5" t="s">
        <v>36</v>
      </c>
      <c r="B5" s="5" t="s">
        <v>23</v>
      </c>
      <c r="C5" s="6" t="s">
        <v>3</v>
      </c>
      <c r="D5" s="5" t="s">
        <v>37</v>
      </c>
      <c r="E5" s="5" t="s">
        <v>38</v>
      </c>
      <c r="F5" s="7" t="s">
        <v>39</v>
      </c>
      <c r="G5" s="5"/>
    </row>
    <row r="6" customFormat="false" ht="45.75" hidden="false" customHeight="true" outlineLevel="0" collapsed="false">
      <c r="A6" s="5" t="s">
        <v>40</v>
      </c>
      <c r="B6" s="5" t="s">
        <v>23</v>
      </c>
      <c r="C6" s="6" t="s">
        <v>3</v>
      </c>
      <c r="D6" s="5" t="s">
        <v>41</v>
      </c>
      <c r="E6" s="5" t="s">
        <v>42</v>
      </c>
      <c r="F6" s="5" t="s">
        <v>43</v>
      </c>
      <c r="G6" s="5"/>
    </row>
    <row r="7" customFormat="false" ht="45.75" hidden="false" customHeight="true" outlineLevel="0" collapsed="false">
      <c r="A7" s="5" t="s">
        <v>44</v>
      </c>
      <c r="B7" s="5" t="s">
        <v>23</v>
      </c>
      <c r="C7" s="6" t="s">
        <v>3</v>
      </c>
      <c r="D7" s="5" t="s">
        <v>45</v>
      </c>
      <c r="E7" s="5" t="s">
        <v>46</v>
      </c>
      <c r="F7" s="8" t="s">
        <v>47</v>
      </c>
      <c r="G7" s="5"/>
    </row>
    <row r="8" customFormat="false" ht="45.75" hidden="false" customHeight="true" outlineLevel="0" collapsed="false">
      <c r="A8" s="5" t="s">
        <v>48</v>
      </c>
      <c r="B8" s="5" t="s">
        <v>23</v>
      </c>
      <c r="C8" s="6" t="s">
        <v>3</v>
      </c>
      <c r="D8" s="5" t="s">
        <v>49</v>
      </c>
      <c r="E8" s="5" t="s">
        <v>50</v>
      </c>
      <c r="F8" s="7" t="s">
        <v>51</v>
      </c>
      <c r="G8" s="5"/>
    </row>
    <row r="9" customFormat="false" ht="57" hidden="false" customHeight="true" outlineLevel="0" collapsed="false">
      <c r="A9" s="5" t="s">
        <v>52</v>
      </c>
      <c r="B9" s="5" t="s">
        <v>23</v>
      </c>
      <c r="C9" s="6" t="s">
        <v>3</v>
      </c>
      <c r="D9" s="5" t="s">
        <v>53</v>
      </c>
      <c r="E9" s="5" t="s">
        <v>54</v>
      </c>
      <c r="F9" s="7" t="s">
        <v>55</v>
      </c>
      <c r="G9" s="5"/>
    </row>
    <row r="10" customFormat="false" ht="45.75" hidden="false" customHeight="true" outlineLevel="0" collapsed="false">
      <c r="A10" s="5" t="s">
        <v>56</v>
      </c>
      <c r="B10" s="5" t="s">
        <v>57</v>
      </c>
      <c r="C10" s="6" t="s">
        <v>3</v>
      </c>
      <c r="D10" s="5" t="s">
        <v>58</v>
      </c>
      <c r="E10" s="5" t="s">
        <v>59</v>
      </c>
      <c r="F10" s="8" t="s">
        <v>60</v>
      </c>
      <c r="G10" s="5"/>
    </row>
    <row r="11" customFormat="false" ht="34.5" hidden="false" customHeight="true" outlineLevel="0" collapsed="false">
      <c r="A11" s="5" t="s">
        <v>61</v>
      </c>
      <c r="B11" s="5" t="s">
        <v>62</v>
      </c>
      <c r="C11" s="6" t="s">
        <v>3</v>
      </c>
      <c r="D11" s="5" t="s">
        <v>63</v>
      </c>
      <c r="E11" s="5" t="s">
        <v>64</v>
      </c>
      <c r="F11" s="5" t="s">
        <v>65</v>
      </c>
      <c r="G11" s="5"/>
    </row>
    <row r="12" customFormat="false" ht="34.5" hidden="false" customHeight="true" outlineLevel="0" collapsed="false">
      <c r="A12" s="5" t="s">
        <v>66</v>
      </c>
      <c r="B12" s="5" t="s">
        <v>23</v>
      </c>
      <c r="C12" s="6" t="s">
        <v>3</v>
      </c>
      <c r="D12" s="5" t="s">
        <v>67</v>
      </c>
      <c r="E12" s="5" t="s">
        <v>68</v>
      </c>
      <c r="F12" s="5" t="s">
        <v>69</v>
      </c>
      <c r="G12" s="5"/>
    </row>
    <row r="13" customFormat="false" ht="34.5" hidden="false" customHeight="true" outlineLevel="0" collapsed="false">
      <c r="A13" s="5" t="s">
        <v>70</v>
      </c>
      <c r="B13" s="5" t="s">
        <v>23</v>
      </c>
      <c r="C13" s="9" t="s">
        <v>5</v>
      </c>
      <c r="D13" s="5" t="s">
        <v>71</v>
      </c>
      <c r="E13" s="5" t="s">
        <v>72</v>
      </c>
      <c r="F13" s="7" t="s">
        <v>73</v>
      </c>
      <c r="G13" s="5"/>
    </row>
    <row r="14" customFormat="false" ht="34.5" hidden="false" customHeight="true" outlineLevel="0" collapsed="false">
      <c r="A14" s="5" t="s">
        <v>74</v>
      </c>
      <c r="B14" s="5" t="s">
        <v>23</v>
      </c>
      <c r="C14" s="6" t="s">
        <v>3</v>
      </c>
      <c r="D14" s="5" t="s">
        <v>75</v>
      </c>
      <c r="E14" s="5" t="s">
        <v>76</v>
      </c>
      <c r="F14" s="7" t="s">
        <v>77</v>
      </c>
      <c r="G14" s="5"/>
    </row>
    <row r="15" customFormat="false" ht="45.75" hidden="false" customHeight="true" outlineLevel="0" collapsed="false">
      <c r="A15" s="5" t="s">
        <v>78</v>
      </c>
      <c r="B15" s="5" t="s">
        <v>79</v>
      </c>
      <c r="C15" s="6" t="s">
        <v>3</v>
      </c>
      <c r="D15" s="5" t="s">
        <v>80</v>
      </c>
      <c r="E15" s="5" t="s">
        <v>81</v>
      </c>
      <c r="F15" s="7" t="s">
        <v>82</v>
      </c>
      <c r="G15" s="5"/>
    </row>
    <row r="16" customFormat="false" ht="57" hidden="false" customHeight="true" outlineLevel="0" collapsed="false">
      <c r="A16" s="5" t="s">
        <v>83</v>
      </c>
      <c r="B16" s="5" t="s">
        <v>79</v>
      </c>
      <c r="C16" s="6" t="s">
        <v>3</v>
      </c>
      <c r="D16" s="5" t="s">
        <v>84</v>
      </c>
      <c r="E16" s="5" t="s">
        <v>85</v>
      </c>
      <c r="F16" s="7" t="s">
        <v>86</v>
      </c>
      <c r="G16" s="5"/>
    </row>
    <row r="17" customFormat="false" ht="45.75" hidden="false" customHeight="true" outlineLevel="0" collapsed="false">
      <c r="A17" s="5" t="s">
        <v>87</v>
      </c>
      <c r="B17" s="5" t="s">
        <v>88</v>
      </c>
      <c r="C17" s="6" t="s">
        <v>3</v>
      </c>
      <c r="D17" s="5" t="s">
        <v>89</v>
      </c>
      <c r="E17" s="5" t="s">
        <v>90</v>
      </c>
      <c r="F17" s="8" t="s">
        <v>91</v>
      </c>
      <c r="G17" s="5"/>
    </row>
    <row r="18" customFormat="false" ht="34.5" hidden="false" customHeight="true" outlineLevel="0" collapsed="false">
      <c r="A18" s="5" t="s">
        <v>92</v>
      </c>
      <c r="B18" s="5" t="s">
        <v>93</v>
      </c>
      <c r="C18" s="6" t="s">
        <v>3</v>
      </c>
      <c r="D18" s="5" t="s">
        <v>94</v>
      </c>
      <c r="E18" s="5" t="s">
        <v>95</v>
      </c>
      <c r="F18" s="7" t="s">
        <v>96</v>
      </c>
      <c r="G18" s="5"/>
    </row>
    <row r="19" customFormat="false" ht="23.25" hidden="false" customHeight="true" outlineLevel="0" collapsed="false">
      <c r="A19" s="5" t="s">
        <v>97</v>
      </c>
      <c r="B19" s="5" t="s">
        <v>62</v>
      </c>
      <c r="C19" s="6" t="s">
        <v>3</v>
      </c>
      <c r="D19" s="5" t="s">
        <v>98</v>
      </c>
      <c r="E19" s="5" t="s">
        <v>99</v>
      </c>
      <c r="F19" s="7" t="s">
        <v>100</v>
      </c>
      <c r="G19" s="5"/>
    </row>
    <row r="20" customFormat="false" ht="79.5" hidden="false" customHeight="true" outlineLevel="0" collapsed="false">
      <c r="A20" s="5" t="s">
        <v>101</v>
      </c>
      <c r="B20" s="5" t="s">
        <v>62</v>
      </c>
      <c r="C20" s="6" t="s">
        <v>3</v>
      </c>
      <c r="D20" s="5" t="s">
        <v>102</v>
      </c>
      <c r="E20" s="5" t="s">
        <v>103</v>
      </c>
      <c r="F20" s="8" t="s">
        <v>104</v>
      </c>
      <c r="G20" s="5"/>
    </row>
    <row r="21" customFormat="false" ht="45.75" hidden="false" customHeight="true" outlineLevel="0" collapsed="false">
      <c r="A21" s="5" t="s">
        <v>105</v>
      </c>
      <c r="B21" s="5" t="s">
        <v>93</v>
      </c>
      <c r="C21" s="6" t="s">
        <v>3</v>
      </c>
      <c r="D21" s="5" t="s">
        <v>106</v>
      </c>
      <c r="E21" s="5" t="s">
        <v>107</v>
      </c>
      <c r="F21" s="7" t="s">
        <v>108</v>
      </c>
      <c r="G21" s="5"/>
    </row>
    <row r="22" customFormat="false" ht="45.75" hidden="false" customHeight="true" outlineLevel="0" collapsed="false">
      <c r="A22" s="5" t="s">
        <v>109</v>
      </c>
      <c r="B22" s="5" t="s">
        <v>93</v>
      </c>
      <c r="C22" s="6" t="s">
        <v>3</v>
      </c>
      <c r="D22" s="5" t="s">
        <v>110</v>
      </c>
      <c r="E22" s="5" t="s">
        <v>111</v>
      </c>
      <c r="F22" s="7" t="s">
        <v>112</v>
      </c>
      <c r="G22" s="5"/>
    </row>
    <row r="23" customFormat="false" ht="57" hidden="false" customHeight="true" outlineLevel="0" collapsed="false">
      <c r="A23" s="5" t="s">
        <v>113</v>
      </c>
      <c r="B23" s="5" t="s">
        <v>93</v>
      </c>
      <c r="C23" s="6" t="s">
        <v>3</v>
      </c>
      <c r="D23" s="5" t="s">
        <v>114</v>
      </c>
      <c r="E23" s="5" t="s">
        <v>115</v>
      </c>
      <c r="F23" s="7" t="s">
        <v>116</v>
      </c>
      <c r="G23" s="5"/>
    </row>
    <row r="24" customFormat="false" ht="45.75" hidden="false" customHeight="true" outlineLevel="0" collapsed="false">
      <c r="A24" s="5" t="s">
        <v>117</v>
      </c>
      <c r="B24" s="5" t="s">
        <v>118</v>
      </c>
      <c r="C24" s="6" t="s">
        <v>3</v>
      </c>
      <c r="D24" s="5" t="s">
        <v>119</v>
      </c>
      <c r="E24" s="5" t="s">
        <v>120</v>
      </c>
      <c r="F24" s="8" t="s">
        <v>121</v>
      </c>
      <c r="G24" s="5"/>
    </row>
    <row r="25" customFormat="false" ht="45.75" hidden="false" customHeight="true" outlineLevel="0" collapsed="false">
      <c r="A25" s="5" t="s">
        <v>122</v>
      </c>
      <c r="B25" s="5" t="s">
        <v>118</v>
      </c>
      <c r="C25" s="6" t="s">
        <v>3</v>
      </c>
      <c r="D25" s="5" t="s">
        <v>123</v>
      </c>
      <c r="E25" s="5" t="s">
        <v>124</v>
      </c>
      <c r="F25" s="8" t="s">
        <v>125</v>
      </c>
      <c r="G25" s="5"/>
    </row>
    <row r="26" customFormat="false" ht="45.75" hidden="false" customHeight="true" outlineLevel="0" collapsed="false">
      <c r="A26" s="5" t="s">
        <v>126</v>
      </c>
      <c r="B26" s="5" t="s">
        <v>88</v>
      </c>
      <c r="C26" s="6" t="s">
        <v>3</v>
      </c>
      <c r="D26" s="5" t="s">
        <v>127</v>
      </c>
      <c r="E26" s="5" t="s">
        <v>128</v>
      </c>
      <c r="F26" s="7" t="s">
        <v>129</v>
      </c>
      <c r="G26" s="5"/>
    </row>
    <row r="27" customFormat="false" ht="45.75" hidden="false" customHeight="true" outlineLevel="0" collapsed="false">
      <c r="A27" s="5" t="s">
        <v>130</v>
      </c>
      <c r="B27" s="5" t="s">
        <v>93</v>
      </c>
      <c r="C27" s="6" t="s">
        <v>3</v>
      </c>
      <c r="D27" s="5" t="s">
        <v>131</v>
      </c>
      <c r="E27" s="5" t="s">
        <v>132</v>
      </c>
      <c r="F27" s="7" t="s">
        <v>133</v>
      </c>
      <c r="G27" s="5"/>
    </row>
    <row r="28" customFormat="false" ht="34.5" hidden="false" customHeight="true" outlineLevel="0" collapsed="false">
      <c r="A28" s="5" t="s">
        <v>134</v>
      </c>
      <c r="B28" s="5" t="s">
        <v>93</v>
      </c>
      <c r="C28" s="6" t="s">
        <v>3</v>
      </c>
      <c r="D28" s="5" t="s">
        <v>135</v>
      </c>
      <c r="E28" s="5" t="s">
        <v>136</v>
      </c>
      <c r="F28" s="7" t="s">
        <v>137</v>
      </c>
      <c r="G28" s="5"/>
    </row>
    <row r="29" customFormat="false" ht="46.25" hidden="false" customHeight="false" outlineLevel="0" collapsed="false">
      <c r="A29" s="5" t="s">
        <v>138</v>
      </c>
      <c r="B29" s="5" t="s">
        <v>139</v>
      </c>
      <c r="C29" s="9" t="s">
        <v>5</v>
      </c>
      <c r="D29" s="5" t="s">
        <v>140</v>
      </c>
      <c r="E29" s="5" t="s">
        <v>141</v>
      </c>
      <c r="F29" s="7" t="s">
        <v>142</v>
      </c>
      <c r="G29" s="5"/>
    </row>
    <row r="30" customFormat="false" ht="46.25" hidden="false" customHeight="false" outlineLevel="0" collapsed="false">
      <c r="A30" s="5" t="s">
        <v>143</v>
      </c>
      <c r="B30" s="5" t="s">
        <v>144</v>
      </c>
      <c r="C30" s="6" t="s">
        <v>3</v>
      </c>
      <c r="D30" s="5" t="s">
        <v>145</v>
      </c>
      <c r="E30" s="5" t="s">
        <v>146</v>
      </c>
      <c r="F30" s="7" t="s">
        <v>147</v>
      </c>
      <c r="G30" s="5"/>
    </row>
    <row r="31" customFormat="false" ht="35.05" hidden="false" customHeight="false" outlineLevel="0" collapsed="false">
      <c r="A31" s="5" t="s">
        <v>148</v>
      </c>
      <c r="B31" s="5" t="s">
        <v>144</v>
      </c>
      <c r="C31" s="6" t="s">
        <v>3</v>
      </c>
      <c r="D31" s="5" t="s">
        <v>149</v>
      </c>
      <c r="E31" s="5" t="s">
        <v>150</v>
      </c>
      <c r="F31" s="5" t="s">
        <v>151</v>
      </c>
      <c r="G31" s="5"/>
    </row>
    <row r="32" customFormat="false" ht="46.25" hidden="false" customHeight="false" outlineLevel="0" collapsed="false">
      <c r="A32" s="5" t="s">
        <v>152</v>
      </c>
      <c r="B32" s="5" t="s">
        <v>93</v>
      </c>
      <c r="C32" s="6" t="s">
        <v>3</v>
      </c>
      <c r="D32" s="5" t="s">
        <v>153</v>
      </c>
      <c r="E32" s="5" t="s">
        <v>154</v>
      </c>
      <c r="F32" s="7" t="s">
        <v>155</v>
      </c>
      <c r="G32" s="5"/>
    </row>
    <row r="33" customFormat="false" ht="35.05" hidden="false" customHeight="false" outlineLevel="0" collapsed="false">
      <c r="A33" s="5" t="s">
        <v>156</v>
      </c>
      <c r="B33" s="5" t="s">
        <v>93</v>
      </c>
      <c r="C33" s="6" t="s">
        <v>3</v>
      </c>
      <c r="D33" s="5" t="s">
        <v>157</v>
      </c>
      <c r="E33" s="5" t="s">
        <v>158</v>
      </c>
      <c r="F33" s="7" t="s">
        <v>159</v>
      </c>
      <c r="G33" s="5"/>
    </row>
    <row r="34" customFormat="false" ht="46.25" hidden="false" customHeight="false" outlineLevel="0" collapsed="false">
      <c r="A34" s="5" t="s">
        <v>160</v>
      </c>
      <c r="B34" s="5" t="s">
        <v>161</v>
      </c>
      <c r="C34" s="6" t="s">
        <v>3</v>
      </c>
      <c r="D34" s="5" t="s">
        <v>162</v>
      </c>
      <c r="E34" s="5" t="s">
        <v>163</v>
      </c>
      <c r="F34" s="8" t="s">
        <v>164</v>
      </c>
      <c r="G34" s="5"/>
    </row>
    <row r="35" customFormat="false" ht="46.25" hidden="false" customHeight="false" outlineLevel="0" collapsed="false">
      <c r="A35" s="5" t="s">
        <v>165</v>
      </c>
      <c r="B35" s="5" t="s">
        <v>62</v>
      </c>
      <c r="C35" s="6" t="s">
        <v>3</v>
      </c>
      <c r="D35" s="5" t="s">
        <v>166</v>
      </c>
      <c r="E35" s="5" t="s">
        <v>167</v>
      </c>
      <c r="F35" s="8" t="s">
        <v>168</v>
      </c>
      <c r="G35" s="5"/>
    </row>
    <row r="36" customFormat="false" ht="46.25" hidden="false" customHeight="false" outlineLevel="0" collapsed="false">
      <c r="A36" s="5" t="s">
        <v>169</v>
      </c>
      <c r="B36" s="5" t="s">
        <v>62</v>
      </c>
      <c r="C36" s="6" t="s">
        <v>3</v>
      </c>
      <c r="D36" s="5" t="s">
        <v>170</v>
      </c>
      <c r="E36" s="5" t="s">
        <v>171</v>
      </c>
      <c r="F36" s="5" t="s">
        <v>172</v>
      </c>
      <c r="G36" s="5"/>
    </row>
    <row r="37" customFormat="false" ht="35.05" hidden="false" customHeight="false" outlineLevel="0" collapsed="false">
      <c r="A37" s="5" t="s">
        <v>173</v>
      </c>
      <c r="B37" s="5" t="s">
        <v>174</v>
      </c>
      <c r="C37" s="6" t="s">
        <v>3</v>
      </c>
      <c r="D37" s="5" t="s">
        <v>175</v>
      </c>
      <c r="E37" s="5" t="s">
        <v>176</v>
      </c>
      <c r="F37" s="7" t="s">
        <v>177</v>
      </c>
      <c r="G37" s="5"/>
    </row>
    <row r="38" customFormat="false" ht="68.65" hidden="false" customHeight="false" outlineLevel="0" collapsed="false">
      <c r="A38" s="5" t="s">
        <v>178</v>
      </c>
      <c r="B38" s="5" t="s">
        <v>179</v>
      </c>
      <c r="C38" s="6" t="s">
        <v>3</v>
      </c>
      <c r="D38" s="5" t="s">
        <v>180</v>
      </c>
      <c r="E38" s="5" t="s">
        <v>181</v>
      </c>
      <c r="F38" s="8" t="s">
        <v>182</v>
      </c>
      <c r="G38" s="5"/>
    </row>
    <row r="39" customFormat="false" ht="35.05" hidden="false" customHeight="false" outlineLevel="0" collapsed="false">
      <c r="A39" s="5" t="s">
        <v>183</v>
      </c>
      <c r="B39" s="5" t="s">
        <v>179</v>
      </c>
      <c r="C39" s="9" t="s">
        <v>5</v>
      </c>
      <c r="D39" s="5" t="s">
        <v>184</v>
      </c>
      <c r="E39" s="5" t="s">
        <v>185</v>
      </c>
      <c r="F39" s="8" t="s">
        <v>186</v>
      </c>
      <c r="G39" s="5"/>
    </row>
  </sheetData>
  <autoFilter ref="A1:G39"/>
  <dataValidations count="1">
    <dataValidation allowBlank="true" errorStyle="stop" operator="between" showDropDown="false" showErrorMessage="false" showInputMessage="false" sqref="G2:G3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6"/>
    <col collapsed="false" customWidth="true" hidden="false" outlineLevel="0" max="3" min="3" style="1" width="24"/>
    <col collapsed="false" customWidth="true" hidden="false" outlineLevel="0" max="4" min="4" style="1" width="15"/>
    <col collapsed="false" customWidth="true" hidden="false" outlineLevel="0" max="5" min="5" style="1" width="80"/>
    <col collapsed="false" customWidth="true" hidden="false" outlineLevel="0" max="6" min="6" style="1" width="55"/>
    <col collapsed="false" customWidth="true" hidden="false" outlineLevel="0" max="7" min="7" style="1" width="10"/>
  </cols>
  <sheetData>
    <row r="1" customFormat="false" ht="34.5" hidden="false" customHeight="true" outlineLevel="0" collapsed="false">
      <c r="A1" s="4" t="s">
        <v>187</v>
      </c>
      <c r="B1" s="4" t="s">
        <v>188</v>
      </c>
      <c r="C1" s="4" t="s">
        <v>189</v>
      </c>
      <c r="D1" s="4" t="s">
        <v>0</v>
      </c>
      <c r="E1" s="4" t="s">
        <v>18</v>
      </c>
      <c r="F1" s="4" t="s">
        <v>190</v>
      </c>
      <c r="G1" s="4" t="s">
        <v>191</v>
      </c>
    </row>
    <row r="2" customFormat="false" ht="34.5" hidden="false" customHeight="true" outlineLevel="0" collapsed="false">
      <c r="A2" s="5" t="n">
        <v>1</v>
      </c>
      <c r="B2" s="5" t="s">
        <v>192</v>
      </c>
      <c r="C2" s="5" t="s">
        <v>193</v>
      </c>
      <c r="D2" s="6" t="s">
        <v>3</v>
      </c>
      <c r="E2" s="5" t="s">
        <v>194</v>
      </c>
      <c r="F2" s="5" t="s">
        <v>195</v>
      </c>
      <c r="G2" s="5"/>
    </row>
    <row r="3" customFormat="false" ht="34.5" hidden="false" customHeight="true" outlineLevel="0" collapsed="false">
      <c r="A3" s="5" t="n">
        <v>2</v>
      </c>
      <c r="B3" s="5" t="s">
        <v>196</v>
      </c>
      <c r="C3" s="5" t="s">
        <v>193</v>
      </c>
      <c r="D3" s="6" t="s">
        <v>3</v>
      </c>
      <c r="E3" s="5" t="s">
        <v>197</v>
      </c>
      <c r="F3" s="5" t="s">
        <v>198</v>
      </c>
      <c r="G3" s="5"/>
    </row>
    <row r="4" customFormat="false" ht="23.25" hidden="false" customHeight="true" outlineLevel="0" collapsed="false">
      <c r="A4" s="5" t="n">
        <v>3</v>
      </c>
      <c r="B4" s="5" t="s">
        <v>199</v>
      </c>
      <c r="C4" s="5" t="s">
        <v>193</v>
      </c>
      <c r="D4" s="9" t="s">
        <v>5</v>
      </c>
      <c r="E4" s="5" t="s">
        <v>200</v>
      </c>
      <c r="F4" s="5" t="s">
        <v>201</v>
      </c>
      <c r="G4" s="5"/>
    </row>
    <row r="5" customFormat="false" ht="34.5" hidden="false" customHeight="true" outlineLevel="0" collapsed="false">
      <c r="A5" s="5" t="n">
        <v>4</v>
      </c>
      <c r="B5" s="5" t="s">
        <v>202</v>
      </c>
      <c r="C5" s="5" t="s">
        <v>193</v>
      </c>
      <c r="D5" s="9" t="s">
        <v>5</v>
      </c>
      <c r="E5" s="5" t="s">
        <v>203</v>
      </c>
      <c r="F5" s="5" t="s">
        <v>204</v>
      </c>
      <c r="G5" s="5"/>
    </row>
    <row r="6" customFormat="false" ht="34.5" hidden="false" customHeight="true" outlineLevel="0" collapsed="false">
      <c r="A6" s="5" t="n">
        <v>5</v>
      </c>
      <c r="B6" s="5" t="s">
        <v>205</v>
      </c>
      <c r="C6" s="5" t="s">
        <v>193</v>
      </c>
      <c r="D6" s="9" t="s">
        <v>5</v>
      </c>
      <c r="E6" s="5" t="s">
        <v>206</v>
      </c>
      <c r="F6" s="5" t="s">
        <v>207</v>
      </c>
      <c r="G6" s="5"/>
    </row>
    <row r="7" customFormat="false" ht="34.5" hidden="false" customHeight="true" outlineLevel="0" collapsed="false">
      <c r="A7" s="5" t="n">
        <v>6</v>
      </c>
      <c r="B7" s="5" t="s">
        <v>208</v>
      </c>
      <c r="C7" s="5" t="s">
        <v>193</v>
      </c>
      <c r="D7" s="9" t="s">
        <v>5</v>
      </c>
      <c r="E7" s="5" t="s">
        <v>209</v>
      </c>
      <c r="F7" s="5" t="s">
        <v>210</v>
      </c>
      <c r="G7" s="5"/>
    </row>
    <row r="8" customFormat="false" ht="34.5" hidden="false" customHeight="true" outlineLevel="0" collapsed="false">
      <c r="A8" s="5" t="n">
        <v>7</v>
      </c>
      <c r="B8" s="5" t="s">
        <v>211</v>
      </c>
      <c r="C8" s="5" t="s">
        <v>193</v>
      </c>
      <c r="D8" s="6" t="s">
        <v>3</v>
      </c>
      <c r="E8" s="5" t="s">
        <v>212</v>
      </c>
      <c r="F8" s="5" t="s">
        <v>213</v>
      </c>
      <c r="G8" s="5"/>
    </row>
    <row r="9" customFormat="false" ht="34.5" hidden="false" customHeight="true" outlineLevel="0" collapsed="false">
      <c r="A9" s="5" t="n">
        <v>8</v>
      </c>
      <c r="B9" s="5" t="s">
        <v>214</v>
      </c>
      <c r="C9" s="5" t="s">
        <v>193</v>
      </c>
      <c r="D9" s="10" t="s">
        <v>7</v>
      </c>
      <c r="E9" s="5" t="s">
        <v>215</v>
      </c>
      <c r="F9" s="5" t="s">
        <v>216</v>
      </c>
      <c r="G9" s="5"/>
    </row>
    <row r="10" customFormat="false" ht="23.25" hidden="false" customHeight="true" outlineLevel="0" collapsed="false">
      <c r="A10" s="5" t="n">
        <v>9</v>
      </c>
      <c r="B10" s="5" t="s">
        <v>217</v>
      </c>
      <c r="C10" s="5" t="s">
        <v>218</v>
      </c>
      <c r="D10" s="9" t="s">
        <v>5</v>
      </c>
      <c r="E10" s="5" t="s">
        <v>219</v>
      </c>
      <c r="F10" s="5" t="s">
        <v>220</v>
      </c>
      <c r="G10" s="5"/>
    </row>
    <row r="11" customFormat="false" ht="23.25" hidden="false" customHeight="true" outlineLevel="0" collapsed="false">
      <c r="A11" s="5" t="n">
        <v>10</v>
      </c>
      <c r="B11" s="5" t="s">
        <v>221</v>
      </c>
      <c r="C11" s="5" t="s">
        <v>218</v>
      </c>
      <c r="D11" s="6" t="s">
        <v>3</v>
      </c>
      <c r="E11" s="5" t="s">
        <v>222</v>
      </c>
      <c r="F11" s="5" t="s">
        <v>223</v>
      </c>
      <c r="G11" s="5"/>
    </row>
    <row r="12" customFormat="false" ht="23.25" hidden="false" customHeight="true" outlineLevel="0" collapsed="false">
      <c r="A12" s="5" t="n">
        <v>11</v>
      </c>
      <c r="B12" s="5" t="s">
        <v>224</v>
      </c>
      <c r="C12" s="5" t="s">
        <v>218</v>
      </c>
      <c r="D12" s="6" t="s">
        <v>3</v>
      </c>
      <c r="E12" s="5" t="s">
        <v>225</v>
      </c>
      <c r="F12" s="5" t="s">
        <v>226</v>
      </c>
      <c r="G12" s="5"/>
    </row>
    <row r="13" customFormat="false" ht="23.25" hidden="false" customHeight="true" outlineLevel="0" collapsed="false">
      <c r="A13" s="5" t="n">
        <v>12</v>
      </c>
      <c r="B13" s="5" t="s">
        <v>227</v>
      </c>
      <c r="C13" s="5" t="s">
        <v>218</v>
      </c>
      <c r="D13" s="6" t="s">
        <v>3</v>
      </c>
      <c r="E13" s="5" t="s">
        <v>228</v>
      </c>
      <c r="F13" s="5" t="s">
        <v>229</v>
      </c>
      <c r="G13" s="5"/>
    </row>
    <row r="14" customFormat="false" ht="23.25" hidden="false" customHeight="true" outlineLevel="0" collapsed="false">
      <c r="A14" s="5" t="n">
        <v>13</v>
      </c>
      <c r="B14" s="5" t="s">
        <v>230</v>
      </c>
      <c r="C14" s="5" t="s">
        <v>218</v>
      </c>
      <c r="D14" s="6" t="s">
        <v>3</v>
      </c>
      <c r="E14" s="5" t="s">
        <v>231</v>
      </c>
      <c r="F14" s="5" t="s">
        <v>232</v>
      </c>
      <c r="G14" s="5"/>
    </row>
    <row r="15" customFormat="false" ht="23.25" hidden="false" customHeight="true" outlineLevel="0" collapsed="false">
      <c r="A15" s="5" t="n">
        <v>14</v>
      </c>
      <c r="B15" s="5" t="s">
        <v>233</v>
      </c>
      <c r="C15" s="5" t="s">
        <v>218</v>
      </c>
      <c r="D15" s="6" t="s">
        <v>3</v>
      </c>
      <c r="E15" s="5" t="s">
        <v>234</v>
      </c>
      <c r="F15" s="5" t="s">
        <v>235</v>
      </c>
      <c r="G15" s="5"/>
    </row>
    <row r="16" customFormat="false" ht="23.25" hidden="false" customHeight="true" outlineLevel="0" collapsed="false">
      <c r="A16" s="5" t="n">
        <v>15</v>
      </c>
      <c r="B16" s="5" t="s">
        <v>236</v>
      </c>
      <c r="C16" s="5" t="s">
        <v>218</v>
      </c>
      <c r="D16" s="6" t="s">
        <v>3</v>
      </c>
      <c r="E16" s="5" t="s">
        <v>237</v>
      </c>
      <c r="F16" s="5" t="s">
        <v>238</v>
      </c>
      <c r="G16" s="5"/>
    </row>
    <row r="17" customFormat="false" ht="23.25" hidden="false" customHeight="true" outlineLevel="0" collapsed="false">
      <c r="A17" s="5" t="n">
        <v>16</v>
      </c>
      <c r="B17" s="5" t="s">
        <v>239</v>
      </c>
      <c r="C17" s="5" t="s">
        <v>218</v>
      </c>
      <c r="D17" s="10" t="s">
        <v>7</v>
      </c>
      <c r="E17" s="5" t="s">
        <v>240</v>
      </c>
      <c r="F17" s="5" t="s">
        <v>241</v>
      </c>
      <c r="G17" s="5"/>
    </row>
    <row r="18" customFormat="false" ht="23.25" hidden="false" customHeight="true" outlineLevel="0" collapsed="false">
      <c r="A18" s="5" t="n">
        <v>17</v>
      </c>
      <c r="B18" s="5" t="s">
        <v>242</v>
      </c>
      <c r="C18" s="5" t="s">
        <v>218</v>
      </c>
      <c r="D18" s="9" t="s">
        <v>5</v>
      </c>
      <c r="E18" s="5" t="s">
        <v>243</v>
      </c>
      <c r="F18" s="5" t="s">
        <v>244</v>
      </c>
      <c r="G18" s="5"/>
    </row>
    <row r="19" customFormat="false" ht="23.25" hidden="false" customHeight="true" outlineLevel="0" collapsed="false">
      <c r="A19" s="5" t="n">
        <v>18</v>
      </c>
      <c r="B19" s="5" t="s">
        <v>245</v>
      </c>
      <c r="C19" s="5" t="s">
        <v>246</v>
      </c>
      <c r="D19" s="9" t="s">
        <v>5</v>
      </c>
      <c r="E19" s="5" t="s">
        <v>247</v>
      </c>
      <c r="F19" s="5" t="s">
        <v>248</v>
      </c>
      <c r="G19" s="5"/>
    </row>
    <row r="20" customFormat="false" ht="23.25" hidden="false" customHeight="true" outlineLevel="0" collapsed="false">
      <c r="A20" s="5" t="n">
        <v>19</v>
      </c>
      <c r="B20" s="5" t="s">
        <v>249</v>
      </c>
      <c r="C20" s="5" t="s">
        <v>246</v>
      </c>
      <c r="D20" s="6" t="s">
        <v>3</v>
      </c>
      <c r="E20" s="5" t="s">
        <v>250</v>
      </c>
      <c r="F20" s="5" t="s">
        <v>251</v>
      </c>
      <c r="G20" s="5"/>
    </row>
    <row r="21" customFormat="false" ht="34.5" hidden="false" customHeight="true" outlineLevel="0" collapsed="false">
      <c r="A21" s="5" t="n">
        <v>20</v>
      </c>
      <c r="B21" s="5" t="s">
        <v>252</v>
      </c>
      <c r="C21" s="5" t="s">
        <v>246</v>
      </c>
      <c r="D21" s="9" t="s">
        <v>5</v>
      </c>
      <c r="E21" s="5" t="s">
        <v>253</v>
      </c>
      <c r="F21" s="5" t="s">
        <v>254</v>
      </c>
      <c r="G21" s="5"/>
    </row>
    <row r="22" customFormat="false" ht="45.75" hidden="false" customHeight="true" outlineLevel="0" collapsed="false">
      <c r="A22" s="5" t="n">
        <v>21</v>
      </c>
      <c r="B22" s="5" t="s">
        <v>255</v>
      </c>
      <c r="C22" s="5" t="s">
        <v>246</v>
      </c>
      <c r="D22" s="9" t="s">
        <v>5</v>
      </c>
      <c r="E22" s="5" t="s">
        <v>256</v>
      </c>
      <c r="F22" s="5" t="s">
        <v>257</v>
      </c>
      <c r="G22" s="5"/>
    </row>
    <row r="23" customFormat="false" ht="23.25" hidden="false" customHeight="true" outlineLevel="0" collapsed="false">
      <c r="A23" s="5" t="n">
        <v>22</v>
      </c>
      <c r="B23" s="5" t="s">
        <v>258</v>
      </c>
      <c r="C23" s="5" t="s">
        <v>246</v>
      </c>
      <c r="D23" s="6" t="s">
        <v>3</v>
      </c>
      <c r="E23" s="5" t="s">
        <v>259</v>
      </c>
      <c r="F23" s="5" t="s">
        <v>260</v>
      </c>
      <c r="G23" s="5"/>
    </row>
    <row r="24" customFormat="false" ht="45.75" hidden="false" customHeight="true" outlineLevel="0" collapsed="false">
      <c r="A24" s="5" t="n">
        <v>23</v>
      </c>
      <c r="B24" s="5" t="s">
        <v>261</v>
      </c>
      <c r="C24" s="5" t="s">
        <v>246</v>
      </c>
      <c r="D24" s="6" t="s">
        <v>3</v>
      </c>
      <c r="E24" s="5" t="s">
        <v>262</v>
      </c>
      <c r="F24" s="5" t="s">
        <v>263</v>
      </c>
      <c r="G24" s="5"/>
    </row>
    <row r="25" customFormat="false" ht="34.5" hidden="false" customHeight="true" outlineLevel="0" collapsed="false">
      <c r="A25" s="5" t="n">
        <v>24</v>
      </c>
      <c r="B25" s="5" t="s">
        <v>264</v>
      </c>
      <c r="C25" s="5" t="s">
        <v>246</v>
      </c>
      <c r="D25" s="6" t="s">
        <v>3</v>
      </c>
      <c r="E25" s="5" t="s">
        <v>265</v>
      </c>
      <c r="F25" s="5" t="s">
        <v>260</v>
      </c>
      <c r="G25" s="5"/>
    </row>
    <row r="26" customFormat="false" ht="34.5" hidden="false" customHeight="true" outlineLevel="0" collapsed="false">
      <c r="A26" s="5" t="n">
        <v>25</v>
      </c>
      <c r="B26" s="5" t="s">
        <v>266</v>
      </c>
      <c r="C26" s="5" t="s">
        <v>246</v>
      </c>
      <c r="D26" s="6" t="s">
        <v>3</v>
      </c>
      <c r="E26" s="5" t="s">
        <v>267</v>
      </c>
      <c r="F26" s="5" t="s">
        <v>268</v>
      </c>
      <c r="G26" s="5"/>
    </row>
    <row r="27" customFormat="false" ht="34.5" hidden="false" customHeight="true" outlineLevel="0" collapsed="false">
      <c r="A27" s="5" t="n">
        <v>26</v>
      </c>
      <c r="B27" s="5" t="s">
        <v>269</v>
      </c>
      <c r="C27" s="5" t="s">
        <v>246</v>
      </c>
      <c r="D27" s="6" t="s">
        <v>3</v>
      </c>
      <c r="E27" s="5" t="s">
        <v>270</v>
      </c>
      <c r="F27" s="5" t="s">
        <v>260</v>
      </c>
      <c r="G27" s="5"/>
    </row>
    <row r="28" customFormat="false" ht="57" hidden="false" customHeight="true" outlineLevel="0" collapsed="false">
      <c r="A28" s="5" t="n">
        <v>27</v>
      </c>
      <c r="B28" s="5" t="s">
        <v>271</v>
      </c>
      <c r="C28" s="5" t="s">
        <v>246</v>
      </c>
      <c r="D28" s="10" t="s">
        <v>7</v>
      </c>
      <c r="E28" s="5" t="s">
        <v>272</v>
      </c>
      <c r="F28" s="5" t="s">
        <v>273</v>
      </c>
      <c r="G28" s="5"/>
    </row>
    <row r="29" customFormat="false" ht="45.75" hidden="false" customHeight="true" outlineLevel="0" collapsed="false">
      <c r="A29" s="5" t="n">
        <v>28</v>
      </c>
      <c r="B29" s="5" t="s">
        <v>274</v>
      </c>
      <c r="C29" s="5" t="s">
        <v>246</v>
      </c>
      <c r="D29" s="6" t="s">
        <v>3</v>
      </c>
      <c r="E29" s="5" t="s">
        <v>275</v>
      </c>
      <c r="F29" s="5" t="s">
        <v>276</v>
      </c>
      <c r="G29" s="5"/>
    </row>
    <row r="30" customFormat="false" ht="45.75" hidden="false" customHeight="true" outlineLevel="0" collapsed="false">
      <c r="A30" s="5" t="n">
        <v>29</v>
      </c>
      <c r="B30" s="5" t="s">
        <v>277</v>
      </c>
      <c r="C30" s="5" t="s">
        <v>246</v>
      </c>
      <c r="D30" s="6" t="s">
        <v>3</v>
      </c>
      <c r="E30" s="5" t="s">
        <v>278</v>
      </c>
      <c r="F30" s="5" t="s">
        <v>260</v>
      </c>
      <c r="G30" s="5"/>
    </row>
    <row r="31" customFormat="false" ht="34.5" hidden="false" customHeight="true" outlineLevel="0" collapsed="false">
      <c r="A31" s="5" t="n">
        <v>30</v>
      </c>
      <c r="B31" s="5" t="s">
        <v>279</v>
      </c>
      <c r="C31" s="5" t="s">
        <v>246</v>
      </c>
      <c r="D31" s="6" t="s">
        <v>3</v>
      </c>
      <c r="E31" s="5" t="s">
        <v>280</v>
      </c>
      <c r="F31" s="5" t="s">
        <v>281</v>
      </c>
      <c r="G31" s="5"/>
    </row>
    <row r="32" customFormat="false" ht="45.75" hidden="false" customHeight="true" outlineLevel="0" collapsed="false">
      <c r="A32" s="5" t="n">
        <v>31</v>
      </c>
      <c r="B32" s="5" t="s">
        <v>282</v>
      </c>
      <c r="C32" s="5" t="s">
        <v>246</v>
      </c>
      <c r="D32" s="9" t="s">
        <v>5</v>
      </c>
      <c r="E32" s="5" t="s">
        <v>283</v>
      </c>
      <c r="F32" s="5" t="s">
        <v>284</v>
      </c>
      <c r="G32" s="5"/>
    </row>
    <row r="33" customFormat="false" ht="34.5" hidden="false" customHeight="true" outlineLevel="0" collapsed="false">
      <c r="A33" s="5" t="n">
        <v>32</v>
      </c>
      <c r="B33" s="5" t="s">
        <v>285</v>
      </c>
      <c r="C33" s="5" t="s">
        <v>246</v>
      </c>
      <c r="D33" s="6" t="s">
        <v>3</v>
      </c>
      <c r="E33" s="5" t="s">
        <v>286</v>
      </c>
      <c r="F33" s="5" t="s">
        <v>260</v>
      </c>
      <c r="G33" s="5"/>
    </row>
    <row r="34" customFormat="false" ht="23.25" hidden="false" customHeight="true" outlineLevel="0" collapsed="false">
      <c r="A34" s="5" t="n">
        <v>33</v>
      </c>
      <c r="B34" s="5" t="s">
        <v>287</v>
      </c>
      <c r="C34" s="5" t="s">
        <v>288</v>
      </c>
      <c r="D34" s="9" t="s">
        <v>5</v>
      </c>
      <c r="E34" s="5" t="s">
        <v>289</v>
      </c>
      <c r="F34" s="5" t="s">
        <v>290</v>
      </c>
      <c r="G34" s="5"/>
    </row>
    <row r="35" customFormat="false" ht="23.25" hidden="false" customHeight="true" outlineLevel="0" collapsed="false">
      <c r="A35" s="5" t="n">
        <v>34</v>
      </c>
      <c r="B35" s="5" t="s">
        <v>291</v>
      </c>
      <c r="C35" s="5" t="s">
        <v>288</v>
      </c>
      <c r="D35" s="9" t="s">
        <v>5</v>
      </c>
      <c r="E35" s="5" t="s">
        <v>292</v>
      </c>
      <c r="F35" s="5" t="s">
        <v>293</v>
      </c>
      <c r="G35" s="5"/>
    </row>
    <row r="36" customFormat="false" ht="23.25" hidden="false" customHeight="true" outlineLevel="0" collapsed="false">
      <c r="A36" s="5" t="n">
        <v>35</v>
      </c>
      <c r="B36" s="5" t="s">
        <v>294</v>
      </c>
      <c r="C36" s="5" t="s">
        <v>288</v>
      </c>
      <c r="D36" s="6" t="s">
        <v>3</v>
      </c>
      <c r="E36" s="5" t="s">
        <v>295</v>
      </c>
      <c r="F36" s="5" t="s">
        <v>296</v>
      </c>
      <c r="G36" s="5"/>
    </row>
    <row r="37" customFormat="false" ht="34.5" hidden="false" customHeight="true" outlineLevel="0" collapsed="false">
      <c r="A37" s="5" t="n">
        <v>36</v>
      </c>
      <c r="B37" s="5" t="s">
        <v>297</v>
      </c>
      <c r="C37" s="5" t="s">
        <v>288</v>
      </c>
      <c r="D37" s="6" t="s">
        <v>3</v>
      </c>
      <c r="E37" s="5" t="s">
        <v>298</v>
      </c>
      <c r="F37" s="5" t="s">
        <v>299</v>
      </c>
      <c r="G37" s="5"/>
    </row>
    <row r="38" customFormat="false" ht="23.25" hidden="false" customHeight="true" outlineLevel="0" collapsed="false">
      <c r="A38" s="5" t="n">
        <v>37</v>
      </c>
      <c r="B38" s="5" t="s">
        <v>300</v>
      </c>
      <c r="C38" s="5" t="s">
        <v>288</v>
      </c>
      <c r="D38" s="9" t="s">
        <v>5</v>
      </c>
      <c r="E38" s="5" t="s">
        <v>301</v>
      </c>
      <c r="F38" s="5" t="s">
        <v>302</v>
      </c>
      <c r="G38" s="5"/>
    </row>
    <row r="39" customFormat="false" ht="23.25" hidden="false" customHeight="true" outlineLevel="0" collapsed="false">
      <c r="A39" s="5" t="n">
        <v>38</v>
      </c>
      <c r="B39" s="5" t="s">
        <v>303</v>
      </c>
      <c r="C39" s="5" t="s">
        <v>288</v>
      </c>
      <c r="D39" s="6" t="s">
        <v>3</v>
      </c>
      <c r="E39" s="5" t="s">
        <v>304</v>
      </c>
      <c r="F39" s="5" t="s">
        <v>305</v>
      </c>
      <c r="G39" s="5"/>
    </row>
    <row r="40" customFormat="false" ht="23.25" hidden="false" customHeight="true" outlineLevel="0" collapsed="false">
      <c r="A40" s="5" t="n">
        <v>39</v>
      </c>
      <c r="B40" s="5" t="s">
        <v>306</v>
      </c>
      <c r="C40" s="5" t="s">
        <v>288</v>
      </c>
      <c r="D40" s="9" t="s">
        <v>5</v>
      </c>
      <c r="E40" s="5" t="s">
        <v>307</v>
      </c>
      <c r="F40" s="5" t="s">
        <v>308</v>
      </c>
      <c r="G40" s="5"/>
    </row>
    <row r="41" customFormat="false" ht="23.25" hidden="false" customHeight="true" outlineLevel="0" collapsed="false">
      <c r="A41" s="5" t="n">
        <v>40</v>
      </c>
      <c r="B41" s="5" t="s">
        <v>309</v>
      </c>
      <c r="C41" s="5" t="s">
        <v>288</v>
      </c>
      <c r="D41" s="9" t="s">
        <v>5</v>
      </c>
      <c r="E41" s="5" t="s">
        <v>310</v>
      </c>
      <c r="F41" s="5" t="s">
        <v>311</v>
      </c>
      <c r="G41" s="5"/>
    </row>
    <row r="42" customFormat="false" ht="34.5" hidden="false" customHeight="true" outlineLevel="0" collapsed="false">
      <c r="A42" s="5" t="n">
        <v>41</v>
      </c>
      <c r="B42" s="5" t="s">
        <v>312</v>
      </c>
      <c r="C42" s="5" t="s">
        <v>288</v>
      </c>
      <c r="D42" s="9" t="s">
        <v>5</v>
      </c>
      <c r="E42" s="5" t="s">
        <v>313</v>
      </c>
      <c r="F42" s="5" t="s">
        <v>314</v>
      </c>
      <c r="G42" s="5"/>
    </row>
    <row r="43" customFormat="false" ht="23.25" hidden="false" customHeight="true" outlineLevel="0" collapsed="false">
      <c r="A43" s="5" t="n">
        <v>42</v>
      </c>
      <c r="B43" s="5" t="s">
        <v>315</v>
      </c>
      <c r="C43" s="5" t="s">
        <v>288</v>
      </c>
      <c r="D43" s="9" t="s">
        <v>5</v>
      </c>
      <c r="E43" s="5" t="s">
        <v>316</v>
      </c>
      <c r="F43" s="5" t="s">
        <v>317</v>
      </c>
      <c r="G43" s="5"/>
    </row>
    <row r="44" customFormat="false" ht="34.5" hidden="false" customHeight="true" outlineLevel="0" collapsed="false">
      <c r="A44" s="5" t="n">
        <v>43</v>
      </c>
      <c r="B44" s="5" t="s">
        <v>318</v>
      </c>
      <c r="C44" s="5" t="s">
        <v>288</v>
      </c>
      <c r="D44" s="6" t="s">
        <v>3</v>
      </c>
      <c r="E44" s="5" t="s">
        <v>319</v>
      </c>
      <c r="F44" s="5" t="s">
        <v>260</v>
      </c>
      <c r="G44" s="5"/>
    </row>
    <row r="45" customFormat="false" ht="68.25" hidden="false" customHeight="true" outlineLevel="0" collapsed="false">
      <c r="A45" s="5" t="n">
        <v>44</v>
      </c>
      <c r="B45" s="5" t="s">
        <v>320</v>
      </c>
      <c r="C45" s="5" t="s">
        <v>288</v>
      </c>
      <c r="D45" s="10" t="s">
        <v>7</v>
      </c>
      <c r="E45" s="5" t="s">
        <v>321</v>
      </c>
      <c r="F45" s="5" t="s">
        <v>322</v>
      </c>
      <c r="G45" s="5"/>
    </row>
    <row r="46" customFormat="false" ht="34.5" hidden="false" customHeight="true" outlineLevel="0" collapsed="false">
      <c r="A46" s="5" t="n">
        <v>45</v>
      </c>
      <c r="B46" s="5" t="s">
        <v>323</v>
      </c>
      <c r="C46" s="5" t="s">
        <v>288</v>
      </c>
      <c r="D46" s="6" t="s">
        <v>3</v>
      </c>
      <c r="E46" s="5" t="s">
        <v>324</v>
      </c>
      <c r="F46" s="5" t="s">
        <v>260</v>
      </c>
      <c r="G46" s="5"/>
    </row>
    <row r="47" customFormat="false" ht="34.5" hidden="false" customHeight="true" outlineLevel="0" collapsed="false">
      <c r="A47" s="5" t="n">
        <v>46</v>
      </c>
      <c r="B47" s="5" t="s">
        <v>325</v>
      </c>
      <c r="C47" s="5" t="s">
        <v>288</v>
      </c>
      <c r="D47" s="6" t="s">
        <v>3</v>
      </c>
      <c r="E47" s="5" t="s">
        <v>326</v>
      </c>
      <c r="F47" s="5" t="s">
        <v>260</v>
      </c>
      <c r="G47" s="5"/>
    </row>
    <row r="48" customFormat="false" ht="45.75" hidden="false" customHeight="true" outlineLevel="0" collapsed="false">
      <c r="A48" s="5" t="n">
        <v>47</v>
      </c>
      <c r="B48" s="5" t="s">
        <v>327</v>
      </c>
      <c r="C48" s="5" t="s">
        <v>288</v>
      </c>
      <c r="D48" s="6" t="s">
        <v>3</v>
      </c>
      <c r="E48" s="5" t="s">
        <v>328</v>
      </c>
      <c r="F48" s="5" t="s">
        <v>329</v>
      </c>
      <c r="G48" s="5"/>
    </row>
    <row r="49" customFormat="false" ht="34.5" hidden="false" customHeight="true" outlineLevel="0" collapsed="false">
      <c r="A49" s="5" t="n">
        <v>48</v>
      </c>
      <c r="B49" s="5" t="s">
        <v>330</v>
      </c>
      <c r="C49" s="5" t="s">
        <v>288</v>
      </c>
      <c r="D49" s="6" t="s">
        <v>3</v>
      </c>
      <c r="E49" s="5" t="s">
        <v>331</v>
      </c>
      <c r="F49" s="5" t="s">
        <v>332</v>
      </c>
      <c r="G49" s="5"/>
    </row>
    <row r="50" customFormat="false" ht="34.5" hidden="false" customHeight="true" outlineLevel="0" collapsed="false">
      <c r="A50" s="5" t="n">
        <v>49</v>
      </c>
      <c r="B50" s="5" t="s">
        <v>333</v>
      </c>
      <c r="C50" s="5" t="s">
        <v>288</v>
      </c>
      <c r="D50" s="6" t="s">
        <v>3</v>
      </c>
      <c r="E50" s="5" t="s">
        <v>334</v>
      </c>
      <c r="F50" s="5" t="s">
        <v>335</v>
      </c>
      <c r="G50" s="5"/>
    </row>
    <row r="51" customFormat="false" ht="34.5" hidden="false" customHeight="true" outlineLevel="0" collapsed="false">
      <c r="A51" s="5" t="n">
        <v>50</v>
      </c>
      <c r="B51" s="5" t="s">
        <v>336</v>
      </c>
      <c r="C51" s="5" t="s">
        <v>288</v>
      </c>
      <c r="D51" s="6" t="s">
        <v>3</v>
      </c>
      <c r="E51" s="5" t="s">
        <v>337</v>
      </c>
      <c r="F51" s="5" t="s">
        <v>338</v>
      </c>
      <c r="G51" s="5"/>
    </row>
    <row r="52" customFormat="false" ht="34.5" hidden="false" customHeight="true" outlineLevel="0" collapsed="false">
      <c r="A52" s="5" t="n">
        <v>51</v>
      </c>
      <c r="B52" s="5" t="s">
        <v>339</v>
      </c>
      <c r="C52" s="5" t="s">
        <v>340</v>
      </c>
      <c r="D52" s="9" t="s">
        <v>5</v>
      </c>
      <c r="E52" s="5" t="s">
        <v>341</v>
      </c>
      <c r="F52" s="5" t="s">
        <v>342</v>
      </c>
      <c r="G52" s="5"/>
    </row>
    <row r="53" customFormat="false" ht="23.25" hidden="false" customHeight="true" outlineLevel="0" collapsed="false">
      <c r="A53" s="5" t="n">
        <v>52</v>
      </c>
      <c r="B53" s="5" t="s">
        <v>343</v>
      </c>
      <c r="C53" s="5" t="s">
        <v>340</v>
      </c>
      <c r="D53" s="6" t="s">
        <v>3</v>
      </c>
      <c r="E53" s="5" t="s">
        <v>344</v>
      </c>
      <c r="F53" s="5" t="s">
        <v>345</v>
      </c>
      <c r="G53" s="5"/>
    </row>
    <row r="54" customFormat="false" ht="34.5" hidden="false" customHeight="true" outlineLevel="0" collapsed="false">
      <c r="A54" s="5" t="n">
        <v>53</v>
      </c>
      <c r="B54" s="5" t="s">
        <v>346</v>
      </c>
      <c r="C54" s="5" t="s">
        <v>340</v>
      </c>
      <c r="D54" s="10" t="s">
        <v>7</v>
      </c>
      <c r="E54" s="5" t="s">
        <v>347</v>
      </c>
      <c r="F54" s="5" t="s">
        <v>348</v>
      </c>
      <c r="G54" s="5"/>
    </row>
    <row r="55" customFormat="false" ht="34.5" hidden="false" customHeight="true" outlineLevel="0" collapsed="false">
      <c r="A55" s="5" t="n">
        <v>54</v>
      </c>
      <c r="B55" s="5" t="s">
        <v>349</v>
      </c>
      <c r="C55" s="5" t="s">
        <v>340</v>
      </c>
      <c r="D55" s="9" t="s">
        <v>5</v>
      </c>
      <c r="E55" s="5" t="s">
        <v>350</v>
      </c>
      <c r="F55" s="5" t="s">
        <v>351</v>
      </c>
      <c r="G55" s="5"/>
    </row>
    <row r="56" customFormat="false" ht="23.25" hidden="false" customHeight="true" outlineLevel="0" collapsed="false">
      <c r="A56" s="5" t="n">
        <v>55</v>
      </c>
      <c r="B56" s="5" t="s">
        <v>352</v>
      </c>
      <c r="C56" s="5" t="s">
        <v>340</v>
      </c>
      <c r="D56" s="9" t="s">
        <v>5</v>
      </c>
      <c r="E56" s="5" t="s">
        <v>353</v>
      </c>
      <c r="F56" s="5" t="s">
        <v>354</v>
      </c>
      <c r="G56" s="5"/>
    </row>
    <row r="57" customFormat="false" ht="23.25" hidden="false" customHeight="true" outlineLevel="0" collapsed="false">
      <c r="A57" s="5" t="n">
        <v>56</v>
      </c>
      <c r="B57" s="5" t="s">
        <v>355</v>
      </c>
      <c r="C57" s="5" t="s">
        <v>340</v>
      </c>
      <c r="D57" s="9" t="s">
        <v>5</v>
      </c>
      <c r="E57" s="5" t="s">
        <v>356</v>
      </c>
      <c r="F57" s="5" t="s">
        <v>357</v>
      </c>
      <c r="G57" s="5"/>
    </row>
    <row r="58" customFormat="false" ht="23.25" hidden="false" customHeight="true" outlineLevel="0" collapsed="false">
      <c r="A58" s="5" t="n">
        <v>57</v>
      </c>
      <c r="B58" s="5" t="s">
        <v>358</v>
      </c>
      <c r="C58" s="5" t="s">
        <v>340</v>
      </c>
      <c r="D58" s="9" t="s">
        <v>5</v>
      </c>
      <c r="E58" s="5" t="s">
        <v>359</v>
      </c>
      <c r="F58" s="5" t="s">
        <v>314</v>
      </c>
      <c r="G58" s="5"/>
    </row>
    <row r="59" customFormat="false" ht="23.25" hidden="false" customHeight="true" outlineLevel="0" collapsed="false">
      <c r="A59" s="5" t="n">
        <v>58</v>
      </c>
      <c r="B59" s="5" t="s">
        <v>360</v>
      </c>
      <c r="C59" s="5" t="s">
        <v>340</v>
      </c>
      <c r="D59" s="9" t="s">
        <v>5</v>
      </c>
      <c r="E59" s="5" t="s">
        <v>361</v>
      </c>
      <c r="F59" s="5" t="s">
        <v>314</v>
      </c>
      <c r="G59" s="5"/>
    </row>
    <row r="60" customFormat="false" ht="34.5" hidden="false" customHeight="true" outlineLevel="0" collapsed="false">
      <c r="A60" s="5" t="n">
        <v>59</v>
      </c>
      <c r="B60" s="5" t="s">
        <v>362</v>
      </c>
      <c r="C60" s="5" t="s">
        <v>340</v>
      </c>
      <c r="D60" s="9" t="s">
        <v>5</v>
      </c>
      <c r="E60" s="5" t="s">
        <v>363</v>
      </c>
      <c r="F60" s="5" t="s">
        <v>364</v>
      </c>
      <c r="G60" s="5"/>
    </row>
    <row r="61" customFormat="false" ht="34.5" hidden="false" customHeight="true" outlineLevel="0" collapsed="false">
      <c r="A61" s="5" t="n">
        <v>60</v>
      </c>
      <c r="B61" s="5" t="s">
        <v>365</v>
      </c>
      <c r="C61" s="5" t="s">
        <v>340</v>
      </c>
      <c r="D61" s="6" t="s">
        <v>3</v>
      </c>
      <c r="E61" s="5" t="s">
        <v>366</v>
      </c>
      <c r="F61" s="5" t="s">
        <v>260</v>
      </c>
      <c r="G61" s="5"/>
    </row>
    <row r="62" customFormat="false" ht="34.5" hidden="false" customHeight="true" outlineLevel="0" collapsed="false">
      <c r="A62" s="5" t="n">
        <v>61</v>
      </c>
      <c r="B62" s="5" t="s">
        <v>367</v>
      </c>
      <c r="C62" s="5" t="s">
        <v>340</v>
      </c>
      <c r="D62" s="6" t="s">
        <v>3</v>
      </c>
      <c r="E62" s="5" t="s">
        <v>368</v>
      </c>
      <c r="F62" s="5" t="s">
        <v>260</v>
      </c>
      <c r="G62" s="5"/>
    </row>
    <row r="63" customFormat="false" ht="34.5" hidden="false" customHeight="true" outlineLevel="0" collapsed="false">
      <c r="A63" s="5" t="n">
        <v>62</v>
      </c>
      <c r="B63" s="5" t="s">
        <v>369</v>
      </c>
      <c r="C63" s="5" t="s">
        <v>340</v>
      </c>
      <c r="D63" s="9" t="s">
        <v>5</v>
      </c>
      <c r="E63" s="5" t="s">
        <v>370</v>
      </c>
      <c r="F63" s="5" t="s">
        <v>371</v>
      </c>
      <c r="G63" s="5"/>
    </row>
    <row r="64" customFormat="false" ht="34.5" hidden="false" customHeight="true" outlineLevel="0" collapsed="false">
      <c r="A64" s="5" t="n">
        <v>63</v>
      </c>
      <c r="B64" s="5" t="s">
        <v>372</v>
      </c>
      <c r="C64" s="5" t="s">
        <v>340</v>
      </c>
      <c r="D64" s="6" t="s">
        <v>3</v>
      </c>
      <c r="E64" s="5" t="s">
        <v>373</v>
      </c>
      <c r="F64" s="5" t="s">
        <v>260</v>
      </c>
      <c r="G64" s="5"/>
    </row>
    <row r="65" customFormat="false" ht="68.25" hidden="false" customHeight="true" outlineLevel="0" collapsed="false">
      <c r="A65" s="5" t="n">
        <v>64</v>
      </c>
      <c r="B65" s="5" t="s">
        <v>374</v>
      </c>
      <c r="C65" s="5" t="s">
        <v>340</v>
      </c>
      <c r="D65" s="10" t="s">
        <v>7</v>
      </c>
      <c r="E65" s="5" t="s">
        <v>375</v>
      </c>
      <c r="F65" s="5" t="s">
        <v>376</v>
      </c>
      <c r="G65" s="5"/>
    </row>
    <row r="66" customFormat="false" ht="57" hidden="false" customHeight="true" outlineLevel="0" collapsed="false">
      <c r="A66" s="5" t="n">
        <v>65</v>
      </c>
      <c r="B66" s="5" t="s">
        <v>377</v>
      </c>
      <c r="C66" s="5" t="s">
        <v>340</v>
      </c>
      <c r="D66" s="10" t="s">
        <v>7</v>
      </c>
      <c r="E66" s="5" t="s">
        <v>378</v>
      </c>
      <c r="F66" s="5" t="s">
        <v>379</v>
      </c>
      <c r="G66" s="5"/>
    </row>
    <row r="67" customFormat="false" ht="34.5" hidden="false" customHeight="true" outlineLevel="0" collapsed="false">
      <c r="A67" s="5" t="n">
        <v>66</v>
      </c>
      <c r="B67" s="5" t="s">
        <v>380</v>
      </c>
      <c r="C67" s="5" t="s">
        <v>340</v>
      </c>
      <c r="D67" s="6" t="s">
        <v>3</v>
      </c>
      <c r="E67" s="5" t="s">
        <v>381</v>
      </c>
      <c r="F67" s="5" t="s">
        <v>260</v>
      </c>
      <c r="G67" s="5"/>
    </row>
    <row r="68" customFormat="false" ht="34.5" hidden="false" customHeight="true" outlineLevel="0" collapsed="false">
      <c r="A68" s="5" t="n">
        <v>67</v>
      </c>
      <c r="B68" s="5" t="s">
        <v>382</v>
      </c>
      <c r="C68" s="5" t="s">
        <v>340</v>
      </c>
      <c r="D68" s="6" t="s">
        <v>3</v>
      </c>
      <c r="E68" s="5" t="s">
        <v>383</v>
      </c>
      <c r="F68" s="5" t="s">
        <v>260</v>
      </c>
      <c r="G68" s="5"/>
    </row>
    <row r="69" customFormat="false" ht="23.25" hidden="false" customHeight="true" outlineLevel="0" collapsed="false">
      <c r="A69" s="5" t="n">
        <v>68</v>
      </c>
      <c r="B69" s="5" t="s">
        <v>384</v>
      </c>
      <c r="C69" s="5" t="s">
        <v>385</v>
      </c>
      <c r="D69" s="9" t="s">
        <v>5</v>
      </c>
      <c r="E69" s="5" t="s">
        <v>386</v>
      </c>
      <c r="F69" s="5" t="s">
        <v>387</v>
      </c>
      <c r="G69" s="5"/>
    </row>
    <row r="70" customFormat="false" ht="34.5" hidden="false" customHeight="true" outlineLevel="0" collapsed="false">
      <c r="A70" s="5" t="n">
        <v>69</v>
      </c>
      <c r="B70" s="5" t="s">
        <v>388</v>
      </c>
      <c r="C70" s="5" t="s">
        <v>385</v>
      </c>
      <c r="D70" s="9" t="s">
        <v>5</v>
      </c>
      <c r="E70" s="5" t="s">
        <v>389</v>
      </c>
      <c r="F70" s="5" t="s">
        <v>314</v>
      </c>
      <c r="G70" s="5"/>
    </row>
    <row r="71" customFormat="false" ht="34.5" hidden="false" customHeight="true" outlineLevel="0" collapsed="false">
      <c r="A71" s="5" t="n">
        <v>70</v>
      </c>
      <c r="B71" s="5" t="s">
        <v>390</v>
      </c>
      <c r="C71" s="5" t="s">
        <v>385</v>
      </c>
      <c r="D71" s="6" t="s">
        <v>3</v>
      </c>
      <c r="E71" s="5" t="s">
        <v>391</v>
      </c>
      <c r="F71" s="5" t="s">
        <v>260</v>
      </c>
      <c r="G71" s="5"/>
    </row>
    <row r="72" customFormat="false" ht="23.25" hidden="false" customHeight="true" outlineLevel="0" collapsed="false">
      <c r="A72" s="5" t="n">
        <v>71</v>
      </c>
      <c r="B72" s="5" t="s">
        <v>392</v>
      </c>
      <c r="C72" s="5" t="s">
        <v>385</v>
      </c>
      <c r="D72" s="6" t="s">
        <v>3</v>
      </c>
      <c r="E72" s="5" t="s">
        <v>393</v>
      </c>
      <c r="F72" s="5" t="s">
        <v>394</v>
      </c>
      <c r="G72" s="5"/>
    </row>
    <row r="73" customFormat="false" ht="34.5" hidden="false" customHeight="true" outlineLevel="0" collapsed="false">
      <c r="A73" s="5" t="n">
        <v>72</v>
      </c>
      <c r="B73" s="5" t="s">
        <v>395</v>
      </c>
      <c r="C73" s="5" t="s">
        <v>385</v>
      </c>
      <c r="D73" s="6" t="s">
        <v>3</v>
      </c>
      <c r="E73" s="5" t="s">
        <v>396</v>
      </c>
      <c r="F73" s="5" t="s">
        <v>397</v>
      </c>
      <c r="G73" s="5"/>
    </row>
    <row r="74" customFormat="false" ht="34.5" hidden="false" customHeight="true" outlineLevel="0" collapsed="false">
      <c r="A74" s="5" t="n">
        <v>73</v>
      </c>
      <c r="B74" s="5" t="s">
        <v>398</v>
      </c>
      <c r="C74" s="5" t="s">
        <v>385</v>
      </c>
      <c r="D74" s="6" t="s">
        <v>3</v>
      </c>
      <c r="E74" s="5" t="s">
        <v>399</v>
      </c>
      <c r="F74" s="5" t="s">
        <v>260</v>
      </c>
      <c r="G74" s="5"/>
    </row>
    <row r="75" customFormat="false" ht="34.5" hidden="false" customHeight="true" outlineLevel="0" collapsed="false">
      <c r="A75" s="5" t="n">
        <v>74</v>
      </c>
      <c r="B75" s="5" t="s">
        <v>400</v>
      </c>
      <c r="C75" s="5" t="s">
        <v>385</v>
      </c>
      <c r="D75" s="6" t="s">
        <v>3</v>
      </c>
      <c r="E75" s="5" t="s">
        <v>401</v>
      </c>
      <c r="F75" s="5" t="s">
        <v>402</v>
      </c>
      <c r="G75" s="5"/>
    </row>
    <row r="76" customFormat="false" ht="34.5" hidden="false" customHeight="true" outlineLevel="0" collapsed="false">
      <c r="A76" s="5" t="n">
        <v>75</v>
      </c>
      <c r="B76" s="5" t="s">
        <v>403</v>
      </c>
      <c r="C76" s="5" t="s">
        <v>385</v>
      </c>
      <c r="D76" s="9" t="s">
        <v>5</v>
      </c>
      <c r="E76" s="5" t="s">
        <v>404</v>
      </c>
      <c r="F76" s="5" t="s">
        <v>405</v>
      </c>
      <c r="G76" s="5"/>
    </row>
    <row r="77" customFormat="false" ht="34.5" hidden="false" customHeight="true" outlineLevel="0" collapsed="false">
      <c r="A77" s="5" t="n">
        <v>76</v>
      </c>
      <c r="B77" s="5" t="s">
        <v>406</v>
      </c>
      <c r="C77" s="5" t="s">
        <v>385</v>
      </c>
      <c r="D77" s="9" t="s">
        <v>5</v>
      </c>
      <c r="E77" s="5" t="s">
        <v>407</v>
      </c>
      <c r="F77" s="5" t="s">
        <v>408</v>
      </c>
      <c r="G77" s="5"/>
    </row>
    <row r="78" customFormat="false" ht="34.5" hidden="false" customHeight="true" outlineLevel="0" collapsed="false">
      <c r="A78" s="5" t="n">
        <v>77</v>
      </c>
      <c r="B78" s="5" t="s">
        <v>409</v>
      </c>
      <c r="C78" s="5" t="s">
        <v>385</v>
      </c>
      <c r="D78" s="6" t="s">
        <v>3</v>
      </c>
      <c r="E78" s="5" t="s">
        <v>410</v>
      </c>
      <c r="F78" s="5" t="s">
        <v>411</v>
      </c>
      <c r="G78" s="5"/>
    </row>
    <row r="79" customFormat="false" ht="23.25" hidden="false" customHeight="true" outlineLevel="0" collapsed="false">
      <c r="A79" s="5" t="n">
        <v>78</v>
      </c>
      <c r="B79" s="5" t="s">
        <v>412</v>
      </c>
      <c r="C79" s="5" t="s">
        <v>413</v>
      </c>
      <c r="D79" s="6" t="s">
        <v>3</v>
      </c>
      <c r="E79" s="5" t="s">
        <v>414</v>
      </c>
      <c r="F79" s="5" t="s">
        <v>415</v>
      </c>
      <c r="G79" s="5"/>
    </row>
    <row r="80" customFormat="false" ht="23.25" hidden="false" customHeight="true" outlineLevel="0" collapsed="false">
      <c r="A80" s="5" t="n">
        <v>79</v>
      </c>
      <c r="B80" s="5" t="s">
        <v>416</v>
      </c>
      <c r="C80" s="5" t="s">
        <v>413</v>
      </c>
      <c r="D80" s="9" t="s">
        <v>5</v>
      </c>
      <c r="E80" s="5" t="s">
        <v>417</v>
      </c>
      <c r="F80" s="5" t="s">
        <v>302</v>
      </c>
      <c r="G80" s="5"/>
    </row>
    <row r="81" customFormat="false" ht="34.5" hidden="false" customHeight="true" outlineLevel="0" collapsed="false">
      <c r="A81" s="5" t="n">
        <v>80</v>
      </c>
      <c r="B81" s="5" t="s">
        <v>418</v>
      </c>
      <c r="C81" s="5" t="s">
        <v>413</v>
      </c>
      <c r="D81" s="6" t="s">
        <v>3</v>
      </c>
      <c r="E81" s="5" t="s">
        <v>419</v>
      </c>
      <c r="F81" s="5" t="s">
        <v>420</v>
      </c>
      <c r="G81" s="5"/>
    </row>
    <row r="82" customFormat="false" ht="34.5" hidden="false" customHeight="true" outlineLevel="0" collapsed="false">
      <c r="A82" s="5" t="n">
        <v>81</v>
      </c>
      <c r="B82" s="5" t="s">
        <v>421</v>
      </c>
      <c r="C82" s="5" t="s">
        <v>422</v>
      </c>
      <c r="D82" s="6" t="s">
        <v>3</v>
      </c>
      <c r="E82" s="5" t="s">
        <v>423</v>
      </c>
      <c r="F82" s="5" t="s">
        <v>424</v>
      </c>
      <c r="G82" s="5"/>
    </row>
    <row r="83" customFormat="false" ht="34.5" hidden="false" customHeight="true" outlineLevel="0" collapsed="false">
      <c r="A83" s="5" t="n">
        <v>82</v>
      </c>
      <c r="B83" s="5" t="s">
        <v>425</v>
      </c>
      <c r="C83" s="5" t="s">
        <v>422</v>
      </c>
      <c r="D83" s="6" t="s">
        <v>3</v>
      </c>
      <c r="E83" s="5" t="s">
        <v>426</v>
      </c>
      <c r="F83" s="5" t="s">
        <v>427</v>
      </c>
      <c r="G83" s="5"/>
    </row>
    <row r="84" customFormat="false" ht="23.25" hidden="false" customHeight="true" outlineLevel="0" collapsed="false">
      <c r="A84" s="5" t="n">
        <v>83</v>
      </c>
      <c r="B84" s="5" t="s">
        <v>428</v>
      </c>
      <c r="C84" s="5" t="s">
        <v>422</v>
      </c>
      <c r="D84" s="6" t="s">
        <v>3</v>
      </c>
      <c r="E84" s="5" t="s">
        <v>429</v>
      </c>
      <c r="F84" s="5" t="s">
        <v>430</v>
      </c>
      <c r="G84" s="5"/>
    </row>
    <row r="85" customFormat="false" ht="23.25" hidden="false" customHeight="true" outlineLevel="0" collapsed="false">
      <c r="A85" s="5" t="n">
        <v>84</v>
      </c>
      <c r="B85" s="5" t="s">
        <v>431</v>
      </c>
      <c r="C85" s="5" t="s">
        <v>422</v>
      </c>
      <c r="D85" s="6" t="s">
        <v>3</v>
      </c>
      <c r="E85" s="5" t="s">
        <v>432</v>
      </c>
      <c r="F85" s="5" t="s">
        <v>433</v>
      </c>
      <c r="G85" s="5"/>
    </row>
    <row r="86" customFormat="false" ht="45.75" hidden="false" customHeight="true" outlineLevel="0" collapsed="false">
      <c r="A86" s="5" t="n">
        <v>85</v>
      </c>
      <c r="B86" s="5" t="s">
        <v>434</v>
      </c>
      <c r="C86" s="5" t="s">
        <v>422</v>
      </c>
      <c r="D86" s="10" t="s">
        <v>7</v>
      </c>
      <c r="E86" s="5" t="s">
        <v>435</v>
      </c>
      <c r="F86" s="5" t="s">
        <v>436</v>
      </c>
      <c r="G86" s="5"/>
    </row>
    <row r="87" customFormat="false" ht="34.5" hidden="false" customHeight="true" outlineLevel="0" collapsed="false">
      <c r="A87" s="5" t="n">
        <v>86</v>
      </c>
      <c r="B87" s="5" t="s">
        <v>437</v>
      </c>
      <c r="C87" s="5" t="s">
        <v>422</v>
      </c>
      <c r="D87" s="9" t="s">
        <v>5</v>
      </c>
      <c r="E87" s="5" t="s">
        <v>438</v>
      </c>
      <c r="F87" s="5" t="s">
        <v>439</v>
      </c>
      <c r="G87" s="5"/>
    </row>
    <row r="88" customFormat="false" ht="23.25" hidden="false" customHeight="true" outlineLevel="0" collapsed="false">
      <c r="A88" s="5" t="n">
        <v>87</v>
      </c>
      <c r="B88" s="5" t="s">
        <v>440</v>
      </c>
      <c r="C88" s="5" t="s">
        <v>422</v>
      </c>
      <c r="D88" s="9" t="s">
        <v>5</v>
      </c>
      <c r="E88" s="5" t="s">
        <v>441</v>
      </c>
      <c r="F88" s="5" t="s">
        <v>442</v>
      </c>
      <c r="G88" s="5"/>
    </row>
    <row r="89" customFormat="false" ht="23.25" hidden="false" customHeight="true" outlineLevel="0" collapsed="false">
      <c r="A89" s="5" t="n">
        <v>88</v>
      </c>
      <c r="B89" s="5" t="s">
        <v>443</v>
      </c>
      <c r="C89" s="5" t="s">
        <v>422</v>
      </c>
      <c r="D89" s="6" t="s">
        <v>3</v>
      </c>
      <c r="E89" s="5" t="s">
        <v>444</v>
      </c>
      <c r="F89" s="5" t="s">
        <v>260</v>
      </c>
      <c r="G89" s="5"/>
    </row>
    <row r="90" customFormat="false" ht="34.5" hidden="false" customHeight="true" outlineLevel="0" collapsed="false">
      <c r="A90" s="5" t="n">
        <v>89</v>
      </c>
      <c r="B90" s="5" t="s">
        <v>445</v>
      </c>
      <c r="C90" s="5" t="s">
        <v>422</v>
      </c>
      <c r="D90" s="9" t="s">
        <v>5</v>
      </c>
      <c r="E90" s="5" t="s">
        <v>446</v>
      </c>
      <c r="F90" s="5" t="s">
        <v>447</v>
      </c>
      <c r="G90" s="5"/>
    </row>
    <row r="91" customFormat="false" ht="34.5" hidden="false" customHeight="true" outlineLevel="0" collapsed="false">
      <c r="A91" s="5" t="n">
        <v>90</v>
      </c>
      <c r="B91" s="5" t="s">
        <v>448</v>
      </c>
      <c r="C91" s="5" t="s">
        <v>422</v>
      </c>
      <c r="D91" s="6" t="s">
        <v>3</v>
      </c>
      <c r="E91" s="5" t="s">
        <v>449</v>
      </c>
      <c r="F91" s="5" t="s">
        <v>450</v>
      </c>
      <c r="G91" s="5"/>
    </row>
    <row r="92" customFormat="false" ht="23.25" hidden="false" customHeight="true" outlineLevel="0" collapsed="false">
      <c r="A92" s="5" t="n">
        <v>91</v>
      </c>
      <c r="B92" s="5" t="s">
        <v>451</v>
      </c>
      <c r="C92" s="5" t="s">
        <v>422</v>
      </c>
      <c r="D92" s="9" t="s">
        <v>5</v>
      </c>
      <c r="E92" s="5" t="s">
        <v>452</v>
      </c>
      <c r="F92" s="5" t="s">
        <v>453</v>
      </c>
      <c r="G92" s="5"/>
    </row>
    <row r="93" customFormat="false" ht="23.25" hidden="false" customHeight="true" outlineLevel="0" collapsed="false">
      <c r="A93" s="5" t="n">
        <v>92</v>
      </c>
      <c r="B93" s="5" t="s">
        <v>454</v>
      </c>
      <c r="C93" s="5" t="s">
        <v>422</v>
      </c>
      <c r="D93" s="6" t="s">
        <v>3</v>
      </c>
      <c r="E93" s="5" t="s">
        <v>455</v>
      </c>
      <c r="F93" s="5" t="s">
        <v>456</v>
      </c>
      <c r="G93" s="5"/>
    </row>
    <row r="94" customFormat="false" ht="23.25" hidden="false" customHeight="true" outlineLevel="0" collapsed="false">
      <c r="A94" s="5" t="n">
        <v>93</v>
      </c>
      <c r="B94" s="5" t="s">
        <v>457</v>
      </c>
      <c r="C94" s="5" t="s">
        <v>422</v>
      </c>
      <c r="D94" s="6" t="s">
        <v>3</v>
      </c>
      <c r="E94" s="5" t="s">
        <v>458</v>
      </c>
      <c r="F94" s="5" t="s">
        <v>459</v>
      </c>
      <c r="G94" s="5"/>
    </row>
    <row r="95" customFormat="false" ht="23.25" hidden="false" customHeight="true" outlineLevel="0" collapsed="false">
      <c r="A95" s="5" t="n">
        <v>94</v>
      </c>
      <c r="B95" s="5" t="s">
        <v>460</v>
      </c>
      <c r="C95" s="5" t="s">
        <v>422</v>
      </c>
      <c r="D95" s="9" t="s">
        <v>5</v>
      </c>
      <c r="E95" s="5" t="s">
        <v>461</v>
      </c>
      <c r="F95" s="5" t="s">
        <v>354</v>
      </c>
      <c r="G95" s="5"/>
    </row>
    <row r="96" customFormat="false" ht="34.5" hidden="false" customHeight="true" outlineLevel="0" collapsed="false">
      <c r="A96" s="5" t="n">
        <v>95</v>
      </c>
      <c r="B96" s="5" t="s">
        <v>462</v>
      </c>
      <c r="C96" s="5" t="s">
        <v>422</v>
      </c>
      <c r="D96" s="6" t="s">
        <v>3</v>
      </c>
      <c r="E96" s="5" t="s">
        <v>463</v>
      </c>
      <c r="F96" s="5" t="s">
        <v>268</v>
      </c>
      <c r="G96" s="5"/>
    </row>
    <row r="97" customFormat="false" ht="23.25" hidden="false" customHeight="true" outlineLevel="0" collapsed="false">
      <c r="A97" s="5" t="n">
        <v>96</v>
      </c>
      <c r="B97" s="5" t="s">
        <v>464</v>
      </c>
      <c r="C97" s="5" t="s">
        <v>422</v>
      </c>
      <c r="D97" s="6" t="s">
        <v>3</v>
      </c>
      <c r="E97" s="5" t="s">
        <v>465</v>
      </c>
      <c r="F97" s="5" t="s">
        <v>260</v>
      </c>
      <c r="G97" s="5"/>
    </row>
    <row r="98" customFormat="false" ht="23.25" hidden="false" customHeight="true" outlineLevel="0" collapsed="false">
      <c r="A98" s="5" t="n">
        <v>97</v>
      </c>
      <c r="B98" s="5" t="s">
        <v>466</v>
      </c>
      <c r="C98" s="5" t="s">
        <v>422</v>
      </c>
      <c r="D98" s="6" t="s">
        <v>3</v>
      </c>
      <c r="E98" s="5" t="s">
        <v>467</v>
      </c>
      <c r="F98" s="5" t="s">
        <v>260</v>
      </c>
      <c r="G98" s="5"/>
    </row>
    <row r="99" customFormat="false" ht="34.5" hidden="false" customHeight="true" outlineLevel="0" collapsed="false">
      <c r="A99" s="5" t="n">
        <v>98</v>
      </c>
      <c r="B99" s="5" t="s">
        <v>468</v>
      </c>
      <c r="C99" s="5" t="s">
        <v>422</v>
      </c>
      <c r="D99" s="6" t="s">
        <v>3</v>
      </c>
      <c r="E99" s="5" t="s">
        <v>469</v>
      </c>
      <c r="F99" s="5" t="s">
        <v>260</v>
      </c>
      <c r="G99" s="5"/>
    </row>
    <row r="100" customFormat="false" ht="34.5" hidden="false" customHeight="true" outlineLevel="0" collapsed="false">
      <c r="A100" s="5" t="n">
        <v>99</v>
      </c>
      <c r="B100" s="5" t="s">
        <v>470</v>
      </c>
      <c r="C100" s="5" t="s">
        <v>422</v>
      </c>
      <c r="D100" s="6" t="s">
        <v>3</v>
      </c>
      <c r="E100" s="5" t="s">
        <v>471</v>
      </c>
      <c r="F100" s="5" t="s">
        <v>472</v>
      </c>
      <c r="G100" s="5"/>
    </row>
    <row r="101" customFormat="false" ht="34.5" hidden="false" customHeight="true" outlineLevel="0" collapsed="false">
      <c r="A101" s="5" t="n">
        <v>100</v>
      </c>
      <c r="B101" s="5" t="s">
        <v>473</v>
      </c>
      <c r="C101" s="5" t="s">
        <v>422</v>
      </c>
      <c r="D101" s="6" t="s">
        <v>3</v>
      </c>
      <c r="E101" s="5" t="s">
        <v>474</v>
      </c>
      <c r="F101" s="5" t="s">
        <v>260</v>
      </c>
      <c r="G101" s="5"/>
    </row>
    <row r="102" customFormat="false" ht="23.25" hidden="false" customHeight="true" outlineLevel="0" collapsed="false">
      <c r="A102" s="5" t="n">
        <v>101</v>
      </c>
      <c r="B102" s="5" t="s">
        <v>475</v>
      </c>
      <c r="C102" s="5" t="s">
        <v>476</v>
      </c>
      <c r="D102" s="9" t="s">
        <v>5</v>
      </c>
      <c r="E102" s="5" t="s">
        <v>477</v>
      </c>
      <c r="F102" s="5" t="s">
        <v>478</v>
      </c>
      <c r="G102" s="5"/>
    </row>
    <row r="103" customFormat="false" ht="23.25" hidden="false" customHeight="true" outlineLevel="0" collapsed="false">
      <c r="A103" s="5" t="n">
        <v>102</v>
      </c>
      <c r="B103" s="5" t="s">
        <v>479</v>
      </c>
      <c r="C103" s="5" t="s">
        <v>476</v>
      </c>
      <c r="D103" s="6" t="s">
        <v>3</v>
      </c>
      <c r="E103" s="5" t="s">
        <v>480</v>
      </c>
      <c r="F103" s="5" t="s">
        <v>481</v>
      </c>
      <c r="G103" s="5"/>
    </row>
    <row r="104" customFormat="false" ht="45.75" hidden="false" customHeight="true" outlineLevel="0" collapsed="false">
      <c r="A104" s="5" t="n">
        <v>103</v>
      </c>
      <c r="B104" s="5" t="s">
        <v>482</v>
      </c>
      <c r="C104" s="5" t="s">
        <v>476</v>
      </c>
      <c r="D104" s="10" t="s">
        <v>7</v>
      </c>
      <c r="E104" s="5" t="s">
        <v>483</v>
      </c>
      <c r="F104" s="5" t="s">
        <v>484</v>
      </c>
      <c r="G104" s="5"/>
    </row>
    <row r="105" customFormat="false" ht="34.5" hidden="false" customHeight="true" outlineLevel="0" collapsed="false">
      <c r="A105" s="5" t="n">
        <v>104</v>
      </c>
      <c r="B105" s="5" t="s">
        <v>485</v>
      </c>
      <c r="C105" s="5" t="s">
        <v>476</v>
      </c>
      <c r="D105" s="10" t="s">
        <v>7</v>
      </c>
      <c r="E105" s="5" t="s">
        <v>486</v>
      </c>
      <c r="F105" s="5" t="s">
        <v>487</v>
      </c>
      <c r="G105" s="5"/>
    </row>
    <row r="106" customFormat="false" ht="57" hidden="false" customHeight="true" outlineLevel="0" collapsed="false">
      <c r="A106" s="5" t="n">
        <v>105</v>
      </c>
      <c r="B106" s="5" t="s">
        <v>488</v>
      </c>
      <c r="C106" s="5" t="s">
        <v>476</v>
      </c>
      <c r="D106" s="10" t="s">
        <v>7</v>
      </c>
      <c r="E106" s="5" t="s">
        <v>489</v>
      </c>
      <c r="F106" s="5" t="s">
        <v>490</v>
      </c>
      <c r="G106" s="5"/>
    </row>
    <row r="107" customFormat="false" ht="23.25" hidden="false" customHeight="true" outlineLevel="0" collapsed="false">
      <c r="A107" s="5" t="n">
        <v>106</v>
      </c>
      <c r="B107" s="5" t="s">
        <v>491</v>
      </c>
      <c r="C107" s="5" t="s">
        <v>476</v>
      </c>
      <c r="D107" s="6" t="s">
        <v>3</v>
      </c>
      <c r="E107" s="5" t="s">
        <v>492</v>
      </c>
      <c r="F107" s="5" t="s">
        <v>493</v>
      </c>
      <c r="G107" s="5"/>
    </row>
    <row r="108" customFormat="false" ht="34.5" hidden="false" customHeight="true" outlineLevel="0" collapsed="false">
      <c r="A108" s="5" t="n">
        <v>107</v>
      </c>
      <c r="B108" s="5" t="s">
        <v>494</v>
      </c>
      <c r="C108" s="5" t="s">
        <v>476</v>
      </c>
      <c r="D108" s="9" t="s">
        <v>5</v>
      </c>
      <c r="E108" s="5" t="s">
        <v>495</v>
      </c>
      <c r="F108" s="5" t="s">
        <v>496</v>
      </c>
      <c r="G108" s="5"/>
    </row>
    <row r="109" customFormat="false" ht="23.25" hidden="false" customHeight="true" outlineLevel="0" collapsed="false">
      <c r="A109" s="5" t="n">
        <v>108</v>
      </c>
      <c r="B109" s="5" t="s">
        <v>497</v>
      </c>
      <c r="C109" s="5" t="s">
        <v>476</v>
      </c>
      <c r="D109" s="6" t="s">
        <v>3</v>
      </c>
      <c r="E109" s="5" t="s">
        <v>498</v>
      </c>
      <c r="F109" s="5" t="s">
        <v>481</v>
      </c>
      <c r="G109" s="5"/>
    </row>
    <row r="110" customFormat="false" ht="34.5" hidden="false" customHeight="true" outlineLevel="0" collapsed="false">
      <c r="A110" s="5" t="n">
        <v>109</v>
      </c>
      <c r="B110" s="5" t="s">
        <v>499</v>
      </c>
      <c r="C110" s="5" t="s">
        <v>500</v>
      </c>
      <c r="D110" s="6" t="s">
        <v>3</v>
      </c>
      <c r="E110" s="5" t="s">
        <v>501</v>
      </c>
      <c r="F110" s="5" t="s">
        <v>502</v>
      </c>
      <c r="G110" s="5"/>
    </row>
    <row r="111" customFormat="false" ht="34.5" hidden="false" customHeight="true" outlineLevel="0" collapsed="false">
      <c r="A111" s="5" t="n">
        <v>110</v>
      </c>
      <c r="B111" s="5" t="s">
        <v>503</v>
      </c>
      <c r="C111" s="5" t="s">
        <v>500</v>
      </c>
      <c r="D111" s="9" t="s">
        <v>5</v>
      </c>
      <c r="E111" s="5" t="s">
        <v>504</v>
      </c>
      <c r="F111" s="5" t="s">
        <v>505</v>
      </c>
      <c r="G111" s="5"/>
    </row>
    <row r="112" customFormat="false" ht="34.5" hidden="false" customHeight="true" outlineLevel="0" collapsed="false">
      <c r="A112" s="5" t="n">
        <v>111</v>
      </c>
      <c r="B112" s="5" t="s">
        <v>506</v>
      </c>
      <c r="C112" s="5" t="s">
        <v>500</v>
      </c>
      <c r="D112" s="9" t="s">
        <v>5</v>
      </c>
      <c r="E112" s="5" t="s">
        <v>507</v>
      </c>
      <c r="F112" s="5" t="s">
        <v>508</v>
      </c>
      <c r="G112" s="5"/>
    </row>
    <row r="113" customFormat="false" ht="23.25" hidden="false" customHeight="true" outlineLevel="0" collapsed="false">
      <c r="A113" s="5" t="n">
        <v>112</v>
      </c>
      <c r="B113" s="5" t="s">
        <v>509</v>
      </c>
      <c r="C113" s="5" t="s">
        <v>500</v>
      </c>
      <c r="D113" s="9" t="s">
        <v>5</v>
      </c>
      <c r="E113" s="5" t="s">
        <v>510</v>
      </c>
      <c r="F113" s="5" t="s">
        <v>293</v>
      </c>
      <c r="G113" s="5"/>
    </row>
    <row r="114" customFormat="false" ht="23.25" hidden="false" customHeight="true" outlineLevel="0" collapsed="false">
      <c r="A114" s="5" t="n">
        <v>113</v>
      </c>
      <c r="B114" s="5" t="s">
        <v>511</v>
      </c>
      <c r="C114" s="5" t="s">
        <v>500</v>
      </c>
      <c r="D114" s="9" t="s">
        <v>5</v>
      </c>
      <c r="E114" s="5" t="s">
        <v>512</v>
      </c>
      <c r="F114" s="5" t="s">
        <v>513</v>
      </c>
      <c r="G114" s="5"/>
    </row>
    <row r="115" customFormat="false" ht="23.25" hidden="false" customHeight="true" outlineLevel="0" collapsed="false">
      <c r="A115" s="5" t="n">
        <v>114</v>
      </c>
      <c r="B115" s="5" t="s">
        <v>514</v>
      </c>
      <c r="C115" s="5" t="s">
        <v>500</v>
      </c>
      <c r="D115" s="9" t="s">
        <v>5</v>
      </c>
      <c r="E115" s="5" t="s">
        <v>515</v>
      </c>
      <c r="F115" s="5" t="s">
        <v>516</v>
      </c>
      <c r="G115" s="5"/>
    </row>
    <row r="116" customFormat="false" ht="34.5" hidden="false" customHeight="true" outlineLevel="0" collapsed="false">
      <c r="A116" s="5" t="n">
        <v>115</v>
      </c>
      <c r="B116" s="5" t="s">
        <v>517</v>
      </c>
      <c r="C116" s="5" t="s">
        <v>500</v>
      </c>
      <c r="D116" s="6" t="s">
        <v>3</v>
      </c>
      <c r="E116" s="5" t="s">
        <v>518</v>
      </c>
      <c r="F116" s="5" t="s">
        <v>519</v>
      </c>
      <c r="G116" s="5"/>
    </row>
    <row r="117" customFormat="false" ht="34.5" hidden="false" customHeight="true" outlineLevel="0" collapsed="false">
      <c r="A117" s="5" t="n">
        <v>116</v>
      </c>
      <c r="B117" s="5" t="s">
        <v>520</v>
      </c>
      <c r="C117" s="5" t="s">
        <v>500</v>
      </c>
      <c r="D117" s="6" t="s">
        <v>3</v>
      </c>
      <c r="E117" s="5" t="s">
        <v>521</v>
      </c>
      <c r="F117" s="5" t="s">
        <v>522</v>
      </c>
      <c r="G117" s="5"/>
    </row>
    <row r="118" customFormat="false" ht="34.5" hidden="false" customHeight="true" outlineLevel="0" collapsed="false">
      <c r="A118" s="5" t="n">
        <v>117</v>
      </c>
      <c r="B118" s="5" t="s">
        <v>523</v>
      </c>
      <c r="C118" s="5" t="s">
        <v>500</v>
      </c>
      <c r="D118" s="6" t="s">
        <v>3</v>
      </c>
      <c r="E118" s="5" t="s">
        <v>524</v>
      </c>
      <c r="F118" s="5" t="s">
        <v>525</v>
      </c>
      <c r="G118" s="5"/>
    </row>
    <row r="119" customFormat="false" ht="23.25" hidden="false" customHeight="true" outlineLevel="0" collapsed="false">
      <c r="A119" s="5" t="n">
        <v>118</v>
      </c>
      <c r="B119" s="5" t="s">
        <v>526</v>
      </c>
      <c r="C119" s="5" t="s">
        <v>500</v>
      </c>
      <c r="D119" s="6" t="s">
        <v>3</v>
      </c>
      <c r="E119" s="5" t="s">
        <v>527</v>
      </c>
      <c r="F119" s="5" t="s">
        <v>260</v>
      </c>
      <c r="G119" s="5"/>
    </row>
  </sheetData>
  <autoFilter ref="A1:G119"/>
  <dataValidations count="1">
    <dataValidation allowBlank="true" errorStyle="stop" operator="between" showDropDown="false" showErrorMessage="false" showInputMessage="false" sqref="G2:G11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0"/>
    <col collapsed="false" customWidth="true" hidden="false" outlineLevel="0" max="3" min="3" style="1" width="60"/>
  </cols>
  <sheetData>
    <row r="1" customFormat="false" ht="15" hidden="false" customHeight="true" outlineLevel="0" collapsed="false">
      <c r="A1" s="4" t="s">
        <v>188</v>
      </c>
      <c r="B1" s="4" t="s">
        <v>528</v>
      </c>
      <c r="C1" s="4" t="s">
        <v>529</v>
      </c>
    </row>
    <row r="2" customFormat="false" ht="23.25" hidden="false" customHeight="true" outlineLevel="0" collapsed="false">
      <c r="A2" s="5" t="s">
        <v>530</v>
      </c>
      <c r="B2" s="5" t="s">
        <v>531</v>
      </c>
      <c r="C2" s="5" t="s">
        <v>532</v>
      </c>
    </row>
    <row r="3" customFormat="false" ht="34.5" hidden="false" customHeight="true" outlineLevel="0" collapsed="false">
      <c r="A3" s="5" t="s">
        <v>533</v>
      </c>
      <c r="B3" s="5" t="s">
        <v>534</v>
      </c>
      <c r="C3" s="5" t="s">
        <v>535</v>
      </c>
    </row>
    <row r="4" customFormat="false" ht="45.75" hidden="false" customHeight="true" outlineLevel="0" collapsed="false">
      <c r="A4" s="5" t="s">
        <v>536</v>
      </c>
      <c r="B4" s="5" t="s">
        <v>537</v>
      </c>
      <c r="C4" s="5" t="s">
        <v>538</v>
      </c>
    </row>
    <row r="5" customFormat="false" ht="34.5" hidden="false" customHeight="true" outlineLevel="0" collapsed="false">
      <c r="A5" s="5" t="s">
        <v>539</v>
      </c>
      <c r="B5" s="5" t="s">
        <v>540</v>
      </c>
      <c r="C5" s="5" t="s">
        <v>541</v>
      </c>
    </row>
    <row r="6" customFormat="false" ht="34.5" hidden="false" customHeight="true" outlineLevel="0" collapsed="false">
      <c r="A6" s="5" t="s">
        <v>542</v>
      </c>
      <c r="B6" s="5" t="s">
        <v>543</v>
      </c>
      <c r="C6" s="5" t="s">
        <v>544</v>
      </c>
    </row>
    <row r="7" customFormat="false" ht="23.25" hidden="false" customHeight="true" outlineLevel="0" collapsed="false">
      <c r="A7" s="5" t="s">
        <v>545</v>
      </c>
      <c r="B7" s="5" t="s">
        <v>546</v>
      </c>
      <c r="C7" s="5" t="s">
        <v>547</v>
      </c>
    </row>
    <row r="8" customFormat="false" ht="23.25" hidden="false" customHeight="true" outlineLevel="0" collapsed="false">
      <c r="A8" s="5" t="s">
        <v>548</v>
      </c>
      <c r="B8" s="5" t="s">
        <v>549</v>
      </c>
      <c r="C8" s="5" t="s">
        <v>550</v>
      </c>
    </row>
    <row r="9" customFormat="false" ht="23.25" hidden="false" customHeight="true" outlineLevel="0" collapsed="false">
      <c r="A9" s="5" t="s">
        <v>551</v>
      </c>
      <c r="B9" s="5" t="s">
        <v>552</v>
      </c>
      <c r="C9" s="5" t="s">
        <v>553</v>
      </c>
    </row>
    <row r="10" customFormat="false" ht="23.25" hidden="false" customHeight="true" outlineLevel="0" collapsed="false">
      <c r="A10" s="5" t="s">
        <v>554</v>
      </c>
      <c r="B10" s="5" t="s">
        <v>555</v>
      </c>
      <c r="C10" s="5" t="s">
        <v>556</v>
      </c>
    </row>
    <row r="11" customFormat="false" ht="23.25" hidden="false" customHeight="true" outlineLevel="0" collapsed="false">
      <c r="A11" s="5" t="s">
        <v>557</v>
      </c>
      <c r="B11" s="5" t="s">
        <v>558</v>
      </c>
      <c r="C11" s="5" t="s">
        <v>559</v>
      </c>
    </row>
    <row r="12" customFormat="false" ht="23.25" hidden="false" customHeight="true" outlineLevel="0" collapsed="false">
      <c r="A12" s="5" t="s">
        <v>560</v>
      </c>
      <c r="B12" s="5" t="s">
        <v>561</v>
      </c>
      <c r="C12" s="5" t="s">
        <v>562</v>
      </c>
    </row>
    <row r="13" customFormat="false" ht="23.25" hidden="false" customHeight="true" outlineLevel="0" collapsed="false">
      <c r="A13" s="5" t="s">
        <v>563</v>
      </c>
      <c r="B13" s="5" t="s">
        <v>564</v>
      </c>
      <c r="C13" s="5" t="s">
        <v>565</v>
      </c>
    </row>
    <row r="14" customFormat="false" ht="23.25" hidden="false" customHeight="true" outlineLevel="0" collapsed="false">
      <c r="A14" s="5" t="s">
        <v>566</v>
      </c>
      <c r="B14" s="5" t="s">
        <v>567</v>
      </c>
      <c r="C14" s="5" t="s">
        <v>568</v>
      </c>
    </row>
    <row r="15" customFormat="false" ht="23.25" hidden="false" customHeight="true" outlineLevel="0" collapsed="false">
      <c r="A15" s="5" t="s">
        <v>569</v>
      </c>
      <c r="B15" s="5" t="s">
        <v>570</v>
      </c>
      <c r="C15" s="5" t="s">
        <v>571</v>
      </c>
    </row>
    <row r="16" customFormat="false" ht="34.5" hidden="false" customHeight="true" outlineLevel="0" collapsed="false">
      <c r="A16" s="5" t="s">
        <v>572</v>
      </c>
      <c r="B16" s="5" t="s">
        <v>573</v>
      </c>
      <c r="C16" s="5" t="s">
        <v>574</v>
      </c>
    </row>
    <row r="17" customFormat="false" ht="34.5" hidden="false" customHeight="true" outlineLevel="0" collapsed="false">
      <c r="A17" s="5" t="s">
        <v>575</v>
      </c>
      <c r="B17" s="5" t="s">
        <v>576</v>
      </c>
      <c r="C17" s="5" t="s">
        <v>577</v>
      </c>
    </row>
    <row r="18" customFormat="false" ht="23.25" hidden="false" customHeight="true" outlineLevel="0" collapsed="false">
      <c r="A18" s="5" t="s">
        <v>578</v>
      </c>
      <c r="B18" s="5" t="s">
        <v>579</v>
      </c>
      <c r="C18" s="5" t="s">
        <v>580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5"/>
    <col collapsed="false" customWidth="true" hidden="false" outlineLevel="0" max="3" min="3" style="1" width="60"/>
    <col collapsed="false" customWidth="true" hidden="false" outlineLevel="0" max="4" min="4" style="1" width="35"/>
  </cols>
  <sheetData>
    <row r="1" customFormat="false" ht="15" hidden="false" customHeight="true" outlineLevel="0" collapsed="false">
      <c r="A1" s="4" t="s">
        <v>581</v>
      </c>
      <c r="B1" s="4" t="s">
        <v>582</v>
      </c>
      <c r="C1" s="4" t="s">
        <v>583</v>
      </c>
      <c r="D1" s="4" t="s">
        <v>584</v>
      </c>
    </row>
    <row r="2" customFormat="false" ht="23.25" hidden="false" customHeight="true" outlineLevel="0" collapsed="false">
      <c r="A2" s="5" t="s">
        <v>585</v>
      </c>
      <c r="B2" s="5" t="s">
        <v>586</v>
      </c>
      <c r="C2" s="5" t="s">
        <v>587</v>
      </c>
      <c r="D2" s="5" t="s">
        <v>588</v>
      </c>
    </row>
    <row r="3" customFormat="false" ht="15" hidden="false" customHeight="true" outlineLevel="0" collapsed="false">
      <c r="A3" s="5" t="s">
        <v>589</v>
      </c>
      <c r="B3" s="5" t="s">
        <v>590</v>
      </c>
      <c r="C3" s="5" t="s">
        <v>591</v>
      </c>
      <c r="D3" s="5" t="s">
        <v>592</v>
      </c>
    </row>
    <row r="4" customFormat="false" ht="15" hidden="false" customHeight="true" outlineLevel="0" collapsed="false">
      <c r="A4" s="5" t="s">
        <v>593</v>
      </c>
      <c r="B4" s="5" t="s">
        <v>594</v>
      </c>
      <c r="C4" s="5" t="s">
        <v>595</v>
      </c>
      <c r="D4" s="5" t="s">
        <v>596</v>
      </c>
    </row>
    <row r="5" customFormat="false" ht="23.25" hidden="false" customHeight="true" outlineLevel="0" collapsed="false">
      <c r="A5" s="5" t="s">
        <v>597</v>
      </c>
      <c r="B5" s="5" t="s">
        <v>598</v>
      </c>
      <c r="C5" s="5" t="s">
        <v>599</v>
      </c>
      <c r="D5" s="5" t="s">
        <v>600</v>
      </c>
    </row>
    <row r="6" customFormat="false" ht="23.25" hidden="false" customHeight="true" outlineLevel="0" collapsed="false">
      <c r="A6" s="5" t="s">
        <v>601</v>
      </c>
      <c r="B6" s="5" t="s">
        <v>602</v>
      </c>
      <c r="C6" s="5" t="s">
        <v>603</v>
      </c>
      <c r="D6" s="5" t="s">
        <v>604</v>
      </c>
    </row>
    <row r="7" customFormat="false" ht="15" hidden="false" customHeight="true" outlineLevel="0" collapsed="false">
      <c r="A7" s="5" t="s">
        <v>605</v>
      </c>
      <c r="B7" s="5" t="s">
        <v>606</v>
      </c>
      <c r="C7" s="5" t="s">
        <v>607</v>
      </c>
      <c r="D7" s="5" t="s">
        <v>608</v>
      </c>
    </row>
    <row r="8" customFormat="false" ht="23.25" hidden="false" customHeight="true" outlineLevel="0" collapsed="false">
      <c r="A8" s="5" t="s">
        <v>609</v>
      </c>
      <c r="B8" s="5" t="s">
        <v>610</v>
      </c>
      <c r="C8" s="5" t="s">
        <v>611</v>
      </c>
      <c r="D8" s="5" t="s">
        <v>604</v>
      </c>
    </row>
    <row r="9" customFormat="false" ht="15" hidden="false" customHeight="true" outlineLevel="0" collapsed="false">
      <c r="A9" s="5" t="s">
        <v>612</v>
      </c>
      <c r="B9" s="5" t="s">
        <v>613</v>
      </c>
      <c r="C9" s="5" t="s">
        <v>614</v>
      </c>
      <c r="D9" s="5" t="s">
        <v>615</v>
      </c>
    </row>
    <row r="10" customFormat="false" ht="15" hidden="false" customHeight="true" outlineLevel="0" collapsed="false">
      <c r="A10" s="5" t="s">
        <v>616</v>
      </c>
      <c r="B10" s="5" t="s">
        <v>617</v>
      </c>
      <c r="C10" s="5" t="s">
        <v>618</v>
      </c>
      <c r="D10" s="5" t="s">
        <v>619</v>
      </c>
    </row>
    <row r="11" customFormat="false" ht="23.25" hidden="false" customHeight="true" outlineLevel="0" collapsed="false">
      <c r="A11" s="5" t="s">
        <v>620</v>
      </c>
      <c r="B11" s="5" t="s">
        <v>621</v>
      </c>
      <c r="C11" s="5" t="s">
        <v>622</v>
      </c>
      <c r="D11" s="5" t="s">
        <v>623</v>
      </c>
    </row>
    <row r="12" customFormat="false" ht="15" hidden="false" customHeight="true" outlineLevel="0" collapsed="false">
      <c r="A12" s="5" t="s">
        <v>620</v>
      </c>
      <c r="B12" s="5" t="s">
        <v>624</v>
      </c>
      <c r="C12" s="5" t="s">
        <v>625</v>
      </c>
      <c r="D12" s="5" t="s">
        <v>626</v>
      </c>
    </row>
    <row r="13" customFormat="false" ht="15" hidden="false" customHeight="true" outlineLevel="0" collapsed="false">
      <c r="A13" s="5" t="s">
        <v>627</v>
      </c>
      <c r="B13" s="5" t="s">
        <v>628</v>
      </c>
      <c r="C13" s="5" t="s">
        <v>629</v>
      </c>
      <c r="D13" s="5" t="s">
        <v>630</v>
      </c>
    </row>
    <row r="14" customFormat="false" ht="23.25" hidden="false" customHeight="true" outlineLevel="0" collapsed="false">
      <c r="A14" s="5" t="s">
        <v>631</v>
      </c>
      <c r="B14" s="5" t="s">
        <v>632</v>
      </c>
      <c r="C14" s="5" t="s">
        <v>633</v>
      </c>
      <c r="D14" s="5" t="s">
        <v>634</v>
      </c>
    </row>
    <row r="15" customFormat="false" ht="15" hidden="false" customHeight="true" outlineLevel="0" collapsed="false">
      <c r="A15" s="5" t="s">
        <v>631</v>
      </c>
      <c r="B15" s="5" t="s">
        <v>635</v>
      </c>
      <c r="C15" s="5" t="s">
        <v>636</v>
      </c>
      <c r="D15" s="5" t="s">
        <v>637</v>
      </c>
    </row>
    <row r="16" customFormat="false" ht="15" hidden="false" customHeight="true" outlineLevel="0" collapsed="false">
      <c r="A16" s="5" t="s">
        <v>638</v>
      </c>
      <c r="B16" s="5" t="s">
        <v>639</v>
      </c>
      <c r="C16" s="5" t="s">
        <v>640</v>
      </c>
      <c r="D16" s="5" t="s">
        <v>641</v>
      </c>
    </row>
    <row r="17" customFormat="false" ht="23.25" hidden="false" customHeight="true" outlineLevel="0" collapsed="false">
      <c r="A17" s="5" t="s">
        <v>631</v>
      </c>
      <c r="B17" s="5" t="s">
        <v>642</v>
      </c>
      <c r="C17" s="5" t="s">
        <v>643</v>
      </c>
      <c r="D17" s="5" t="s">
        <v>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2026-09-26T13:13:02Z</dcterms:created>
  <dc:creator>openpyxl</dc:creator>
  <dc:description/>
  <dc:language>en-US</dc:language>
  <cp:lastModifiedBy/>
  <dcterms:modified xsi:type="dcterms:W3CDTF">2026-09-26T13:39:38Z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